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harshithamanjunath/Desktop/DM Practicals/"/>
    </mc:Choice>
  </mc:AlternateContent>
  <xr:revisionPtr revIDLastSave="0" documentId="13_ncr:1_{084D60D1-979D-EE45-9803-4AAC6CF8E6BC}" xr6:coauthVersionLast="47" xr6:coauthVersionMax="47" xr10:uidLastSave="{00000000-0000-0000-0000-000000000000}"/>
  <bookViews>
    <workbookView xWindow="160" yWindow="920" windowWidth="20200" windowHeight="16920" firstSheet="1" activeTab="7" xr2:uid="{142F3B4A-6BA3-1C42-B202-9CC1FE89152A}"/>
  </bookViews>
  <sheets>
    <sheet name="Title" sheetId="10" r:id="rId1"/>
    <sheet name="Introduction" sheetId="11" r:id="rId2"/>
    <sheet name="Inputs" sheetId="14" r:id="rId3"/>
    <sheet name="Costs &amp; QALY" sheetId="15" r:id="rId4"/>
    <sheet name="The Decision Tree" sheetId="12" r:id="rId5"/>
    <sheet name="ICER Interpretation" sheetId="16" r:id="rId6"/>
    <sheet name="1-Way Sensitivity" sheetId="17" r:id="rId7"/>
    <sheet name="2-Way Sensitivity" sheetId="19" r:id="rId8"/>
  </sheets>
  <definedNames>
    <definedName name="base_threshold">'ICER Interpretation'!$F$10</definedName>
    <definedName name="cost_ANG">'Costs &amp; QALY'!$B$65</definedName>
    <definedName name="cost_CABG">'Costs &amp; QALY'!$B$66</definedName>
    <definedName name="cost_EST">'Costs &amp; QALY'!$B$64</definedName>
    <definedName name="cost_MM_moderate">'Costs &amp; QALY'!$B$69</definedName>
    <definedName name="cost_MM_postCABG">'Costs &amp; QALY'!$B$67</definedName>
    <definedName name="cost_MM_severe">'Costs &amp; QALY'!$B$68</definedName>
    <definedName name="cost_NT">'Costs &amp; QALY'!$B$69</definedName>
    <definedName name="p_AliveGiivenMVDCABG">Inputs!$C$53</definedName>
    <definedName name="p_AliveGivenMVDANG">Inputs!$B$53</definedName>
    <definedName name="p_AliveGivenSVDANG">Inputs!$B$52</definedName>
    <definedName name="p_AliveGivenSVDCABG">Inputs!$C$52</definedName>
    <definedName name="p_CABGfailMVD">Inputs!$C$59</definedName>
    <definedName name="p_CABGfailSVD">Inputs!$B$59</definedName>
    <definedName name="p_CABGsucessMVD">Inputs!$C$58</definedName>
    <definedName name="p_CABGsucessMVDCABG">Inputs!$C$58</definedName>
    <definedName name="p_CABGsucessSVD">Inputs!$B$52</definedName>
    <definedName name="p_DaethGivenMVDCABG">Inputs!$C$47</definedName>
    <definedName name="p_DeathGivenMVDANG">Inputs!$B$47</definedName>
    <definedName name="p_DeathGivenMVDCABG">Inputs!$C$47</definedName>
    <definedName name="p_DeathGivenSVDANG">Inputs!$B$46</definedName>
    <definedName name="p_FalseNegative">Inputs!$B$18</definedName>
    <definedName name="p_FalsePosiive">Inputs!$C$17</definedName>
    <definedName name="p_FalsePosiive_est">Inputs!$C$17</definedName>
    <definedName name="p_FalsePosiiveEST">Inputs!$C$17</definedName>
    <definedName name="p_healthy">Inputs!$B$7</definedName>
    <definedName name="p_HealthyGivenNegative">Inputs!$C$28</definedName>
    <definedName name="p_HealthyGivenNegativeCABG">Inputs!$C$42</definedName>
    <definedName name="p_HealthyGivenPositive">Inputs!$C$27</definedName>
    <definedName name="p_HealthyGivenPositiveCABG">Inputs!$C$41</definedName>
    <definedName name="p_MVD">Inputs!$B$12</definedName>
    <definedName name="p_MVDgivenS">Inputs!$B$10</definedName>
    <definedName name="p_sick">Inputs!$B$6</definedName>
    <definedName name="p_SickgivenNegative">Inputs!$B$28</definedName>
    <definedName name="p_SickgivenNegativeCABG">Inputs!$B$42</definedName>
    <definedName name="p_SickgivenPositive">Inputs!$B$27</definedName>
    <definedName name="p_SickgivenPositiveCABG">Inputs!$B$41</definedName>
    <definedName name="p_successSVDCABG">Inputs!$B$58</definedName>
    <definedName name="p_sVD">Inputs!$B$11</definedName>
    <definedName name="p_sVDgivenS">Inputs!$B$9</definedName>
    <definedName name="p_T">Inputs!$B$17</definedName>
    <definedName name="p_TestNegative">Inputs!$E$23</definedName>
    <definedName name="p_TestNegativeANG">Inputs!$E$38</definedName>
    <definedName name="p_TestPositive">Inputs!$E$22</definedName>
    <definedName name="p_TestPositiveANG">Inputs!$E$37</definedName>
    <definedName name="p_TrueNegative">Inputs!$C$18</definedName>
    <definedName name="p_TruePositive">Inputs!$B$17</definedName>
    <definedName name="p_TruePositive_EST">Inputs!$B$17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17" l="1"/>
  <c r="AV57" i="17"/>
  <c r="I16" i="16"/>
  <c r="AH135" i="12"/>
  <c r="AT58" i="12"/>
  <c r="AM129" i="12" l="1"/>
  <c r="AA148" i="12"/>
  <c r="AV76" i="12"/>
  <c r="AM72" i="12"/>
  <c r="AY53" i="12"/>
  <c r="AL20" i="12"/>
  <c r="C130" i="15"/>
  <c r="B130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15" i="15"/>
  <c r="B101" i="15"/>
  <c r="E26" i="16"/>
  <c r="E19" i="16"/>
  <c r="AJ57" i="12" l="1"/>
  <c r="AJ39" i="12"/>
  <c r="AD148" i="12"/>
  <c r="AH133" i="12"/>
  <c r="AE131" i="12"/>
  <c r="AD113" i="12"/>
  <c r="AD100" i="12"/>
  <c r="AE112" i="12"/>
  <c r="AE99" i="12"/>
  <c r="AY96" i="12"/>
  <c r="AQ116" i="12"/>
  <c r="AQ99" i="12"/>
  <c r="AT56" i="12"/>
  <c r="AQ56" i="12" s="1"/>
  <c r="R44" i="12"/>
  <c r="AK56" i="12"/>
  <c r="AK38" i="12"/>
  <c r="BA42" i="12"/>
  <c r="BA29" i="12"/>
  <c r="AR14" i="12"/>
  <c r="AD160" i="12"/>
  <c r="J50" i="15"/>
  <c r="J51" i="15"/>
  <c r="J52" i="15"/>
  <c r="J53" i="15"/>
  <c r="J49" i="15"/>
  <c r="D50" i="15"/>
  <c r="D51" i="15"/>
  <c r="D52" i="15"/>
  <c r="D53" i="15"/>
  <c r="D54" i="15"/>
  <c r="D55" i="15"/>
  <c r="D56" i="15"/>
  <c r="D57" i="15"/>
  <c r="D58" i="15"/>
  <c r="D49" i="15"/>
  <c r="AJ145" i="12"/>
  <c r="AJ141" i="12"/>
  <c r="AG145" i="12"/>
  <c r="AG141" i="12"/>
  <c r="AP133" i="12"/>
  <c r="AH131" i="12" s="1"/>
  <c r="AP129" i="12"/>
  <c r="BB95" i="12"/>
  <c r="AP85" i="12"/>
  <c r="AP72" i="12"/>
  <c r="BB57" i="12"/>
  <c r="BB53" i="12"/>
  <c r="AT57" i="12" s="1"/>
  <c r="BC39" i="12"/>
  <c r="BF39" i="12"/>
  <c r="BC25" i="12"/>
  <c r="BF25" i="12"/>
  <c r="AQ20" i="12"/>
  <c r="O63" i="15"/>
  <c r="O51" i="15"/>
  <c r="O49" i="15"/>
  <c r="O50" i="15"/>
  <c r="O52" i="15"/>
  <c r="O53" i="15"/>
  <c r="O54" i="15"/>
  <c r="O55" i="15"/>
  <c r="O56" i="15"/>
  <c r="O57" i="15"/>
  <c r="O58" i="15"/>
  <c r="O59" i="15"/>
  <c r="O60" i="15"/>
  <c r="O61" i="15"/>
  <c r="O62" i="15"/>
  <c r="O48" i="15"/>
  <c r="AT54" i="12" l="1"/>
  <c r="AH134" i="12"/>
  <c r="AE133" i="12"/>
  <c r="AP70" i="12" l="1"/>
  <c r="AJ79" i="12"/>
  <c r="AU102" i="12"/>
  <c r="AJ124" i="12"/>
  <c r="J38" i="15"/>
  <c r="AJ16" i="12"/>
  <c r="AR18" i="12"/>
  <c r="AJ20" i="12"/>
  <c r="B53" i="14"/>
  <c r="G106" i="15"/>
  <c r="G107" i="15"/>
  <c r="G108" i="15"/>
  <c r="G109" i="15"/>
  <c r="G110" i="15"/>
  <c r="C102" i="15"/>
  <c r="C101" i="15"/>
  <c r="F102" i="15"/>
  <c r="G102" i="15" s="1"/>
  <c r="F103" i="15"/>
  <c r="G103" i="15" s="1"/>
  <c r="F104" i="15"/>
  <c r="G104" i="15" s="1"/>
  <c r="F105" i="15"/>
  <c r="G105" i="15" s="1"/>
  <c r="F101" i="15"/>
  <c r="F111" i="15" s="1"/>
  <c r="B102" i="15"/>
  <c r="B103" i="15"/>
  <c r="C103" i="15" s="1"/>
  <c r="B104" i="15"/>
  <c r="C104" i="15" s="1"/>
  <c r="B105" i="15"/>
  <c r="C105" i="15" s="1"/>
  <c r="B106" i="15"/>
  <c r="C106" i="15" s="1"/>
  <c r="B107" i="15"/>
  <c r="C107" i="15" s="1"/>
  <c r="B108" i="15"/>
  <c r="C108" i="15" s="1"/>
  <c r="B109" i="15"/>
  <c r="C109" i="15" s="1"/>
  <c r="B110" i="15"/>
  <c r="C110" i="15" s="1"/>
  <c r="G90" i="15"/>
  <c r="G91" i="15"/>
  <c r="G92" i="15"/>
  <c r="G93" i="15"/>
  <c r="G94" i="15"/>
  <c r="G95" i="15"/>
  <c r="G96" i="15"/>
  <c r="F88" i="15"/>
  <c r="G88" i="15" s="1"/>
  <c r="F89" i="15"/>
  <c r="G89" i="15" s="1"/>
  <c r="F90" i="15"/>
  <c r="F91" i="15"/>
  <c r="F87" i="15"/>
  <c r="F97" i="15" s="1"/>
  <c r="B88" i="15"/>
  <c r="C88" i="15" s="1"/>
  <c r="B89" i="15"/>
  <c r="C89" i="15" s="1"/>
  <c r="B90" i="15"/>
  <c r="C90" i="15" s="1"/>
  <c r="B91" i="15"/>
  <c r="C91" i="15" s="1"/>
  <c r="B92" i="15"/>
  <c r="C92" i="15" s="1"/>
  <c r="B93" i="15"/>
  <c r="C93" i="15" s="1"/>
  <c r="B94" i="15"/>
  <c r="C94" i="15" s="1"/>
  <c r="B95" i="15"/>
  <c r="C95" i="15" s="1"/>
  <c r="B96" i="15"/>
  <c r="C96" i="15" s="1"/>
  <c r="B87" i="15"/>
  <c r="G78" i="15"/>
  <c r="G79" i="15"/>
  <c r="F74" i="15"/>
  <c r="G74" i="15" s="1"/>
  <c r="F75" i="15"/>
  <c r="G75" i="15" s="1"/>
  <c r="F76" i="15"/>
  <c r="G76" i="15" s="1"/>
  <c r="F77" i="15"/>
  <c r="G77" i="15" s="1"/>
  <c r="F78" i="15"/>
  <c r="F79" i="15"/>
  <c r="F80" i="15"/>
  <c r="G80" i="15" s="1"/>
  <c r="F81" i="15"/>
  <c r="G81" i="15" s="1"/>
  <c r="F82" i="15"/>
  <c r="G82" i="15" s="1"/>
  <c r="F73" i="15"/>
  <c r="C75" i="15"/>
  <c r="B74" i="15"/>
  <c r="C74" i="15" s="1"/>
  <c r="B75" i="15"/>
  <c r="B76" i="15"/>
  <c r="C76" i="15" s="1"/>
  <c r="B77" i="15"/>
  <c r="C77" i="15" s="1"/>
  <c r="B78" i="15"/>
  <c r="C78" i="15" s="1"/>
  <c r="B79" i="15"/>
  <c r="C79" i="15" s="1"/>
  <c r="B80" i="15"/>
  <c r="C80" i="15" s="1"/>
  <c r="B81" i="15"/>
  <c r="C81" i="15" s="1"/>
  <c r="B82" i="15"/>
  <c r="C82" i="15" s="1"/>
  <c r="B73" i="15"/>
  <c r="B83" i="15" s="1"/>
  <c r="C58" i="15"/>
  <c r="C57" i="15"/>
  <c r="C56" i="15"/>
  <c r="C55" i="15"/>
  <c r="C54" i="15"/>
  <c r="I53" i="15"/>
  <c r="C53" i="15"/>
  <c r="I52" i="15"/>
  <c r="C52" i="15"/>
  <c r="I51" i="15"/>
  <c r="C51" i="15"/>
  <c r="I50" i="15"/>
  <c r="C50" i="15"/>
  <c r="I49" i="15"/>
  <c r="C49" i="15"/>
  <c r="C43" i="15"/>
  <c r="D43" i="15" s="1"/>
  <c r="C42" i="15"/>
  <c r="D42" i="15" s="1"/>
  <c r="C41" i="15"/>
  <c r="D41" i="15" s="1"/>
  <c r="C40" i="15"/>
  <c r="D40" i="15" s="1"/>
  <c r="C39" i="15"/>
  <c r="D39" i="15" s="1"/>
  <c r="I38" i="15"/>
  <c r="C38" i="15"/>
  <c r="D38" i="15" s="1"/>
  <c r="I37" i="15"/>
  <c r="J37" i="15" s="1"/>
  <c r="C37" i="15"/>
  <c r="D37" i="15" s="1"/>
  <c r="I36" i="15"/>
  <c r="J36" i="15" s="1"/>
  <c r="C36" i="15"/>
  <c r="D36" i="15" s="1"/>
  <c r="I35" i="15"/>
  <c r="J35" i="15" s="1"/>
  <c r="C35" i="15"/>
  <c r="D35" i="15" s="1"/>
  <c r="I34" i="15"/>
  <c r="J34" i="15" s="1"/>
  <c r="C34" i="15"/>
  <c r="D34" i="15" s="1"/>
  <c r="I28" i="15"/>
  <c r="J28" i="15" s="1"/>
  <c r="C28" i="15"/>
  <c r="D28" i="15" s="1"/>
  <c r="I27" i="15"/>
  <c r="J27" i="15" s="1"/>
  <c r="C27" i="15"/>
  <c r="D27" i="15" s="1"/>
  <c r="I26" i="15"/>
  <c r="J26" i="15" s="1"/>
  <c r="C26" i="15"/>
  <c r="D26" i="15" s="1"/>
  <c r="I25" i="15"/>
  <c r="J25" i="15" s="1"/>
  <c r="C25" i="15"/>
  <c r="D25" i="15" s="1"/>
  <c r="I24" i="15"/>
  <c r="J24" i="15" s="1"/>
  <c r="C24" i="15"/>
  <c r="D24" i="15" s="1"/>
  <c r="I23" i="15"/>
  <c r="J23" i="15" s="1"/>
  <c r="C23" i="15"/>
  <c r="D23" i="15" s="1"/>
  <c r="I22" i="15"/>
  <c r="J22" i="15" s="1"/>
  <c r="C22" i="15"/>
  <c r="D22" i="15" s="1"/>
  <c r="I21" i="15"/>
  <c r="J21" i="15" s="1"/>
  <c r="C21" i="15"/>
  <c r="D21" i="15" s="1"/>
  <c r="I20" i="15"/>
  <c r="J20" i="15" s="1"/>
  <c r="C20" i="15"/>
  <c r="D20" i="15" s="1"/>
  <c r="I19" i="15"/>
  <c r="J19" i="15" s="1"/>
  <c r="C19" i="15"/>
  <c r="D19" i="15" s="1"/>
  <c r="AD136" i="12"/>
  <c r="AP30" i="12"/>
  <c r="AP59" i="12"/>
  <c r="AD158" i="12"/>
  <c r="X156" i="12"/>
  <c r="AD154" i="12"/>
  <c r="AB157" i="12" l="1"/>
  <c r="B97" i="15"/>
  <c r="F83" i="15"/>
  <c r="C111" i="15"/>
  <c r="C87" i="15"/>
  <c r="C97" i="15" s="1"/>
  <c r="B111" i="15"/>
  <c r="C73" i="15"/>
  <c r="C83" i="15" s="1"/>
  <c r="G101" i="15"/>
  <c r="G111" i="15" s="1"/>
  <c r="G87" i="15"/>
  <c r="G97" i="15" s="1"/>
  <c r="G73" i="15"/>
  <c r="G83" i="15" s="1"/>
  <c r="J39" i="15"/>
  <c r="D59" i="15"/>
  <c r="D44" i="15"/>
  <c r="J29" i="15"/>
  <c r="J54" i="15"/>
  <c r="D29" i="15"/>
  <c r="AV80" i="12" l="1"/>
  <c r="AJ157" i="12"/>
  <c r="AJ153" i="12"/>
  <c r="AB155" i="12" s="1"/>
  <c r="AV91" i="12"/>
  <c r="AW14" i="12"/>
  <c r="AN15" i="12" s="1"/>
  <c r="AH17" i="12" s="1"/>
  <c r="BE99" i="12"/>
  <c r="AV63" i="12"/>
  <c r="BS30" i="12"/>
  <c r="AU18" i="12"/>
  <c r="AS109" i="12"/>
  <c r="AS69" i="12"/>
  <c r="BB113" i="12"/>
  <c r="BP39" i="12"/>
  <c r="BB117" i="12"/>
  <c r="BP43" i="12"/>
  <c r="BP26" i="12"/>
  <c r="BS26" i="12"/>
  <c r="BE95" i="12"/>
  <c r="BB99" i="12"/>
  <c r="BP30" i="12"/>
  <c r="BS43" i="12"/>
  <c r="BE117" i="12"/>
  <c r="AV109" i="12"/>
  <c r="AW18" i="12"/>
  <c r="AV69" i="12"/>
  <c r="BE113" i="12"/>
  <c r="BS39" i="12"/>
  <c r="AS63" i="12"/>
  <c r="AU14" i="12"/>
  <c r="AN17" i="12" s="1"/>
  <c r="AH19" i="12" s="1"/>
  <c r="AS91" i="12"/>
  <c r="AY113" i="12"/>
  <c r="AU119" i="12"/>
  <c r="AJ105" i="12"/>
  <c r="AP43" i="12" l="1"/>
  <c r="B11" i="14"/>
  <c r="BM26" i="12"/>
  <c r="BM43" i="12"/>
  <c r="BM39" i="12"/>
  <c r="BM30" i="12"/>
  <c r="BK29" i="12" s="1"/>
  <c r="BE45" i="12"/>
  <c r="BE32" i="12"/>
  <c r="AV48" i="12"/>
  <c r="AV35" i="12"/>
  <c r="AJ111" i="12"/>
  <c r="B59" i="14"/>
  <c r="AY100" i="12" s="1"/>
  <c r="AW97" i="12" s="1"/>
  <c r="AP81" i="12"/>
  <c r="AP77" i="12"/>
  <c r="AP64" i="12"/>
  <c r="AD146" i="12"/>
  <c r="AD142" i="12"/>
  <c r="X144" i="12"/>
  <c r="B22" i="14"/>
  <c r="C59" i="14"/>
  <c r="AY117" i="12" s="1"/>
  <c r="AW116" i="12" s="1"/>
  <c r="B54" i="14"/>
  <c r="C53" i="14"/>
  <c r="AU115" i="12" s="1"/>
  <c r="C52" i="14"/>
  <c r="AU98" i="12" s="1"/>
  <c r="B52" i="14"/>
  <c r="AV28" i="12" s="1"/>
  <c r="B37" i="14"/>
  <c r="B34" i="14"/>
  <c r="B38" i="14" s="1"/>
  <c r="C33" i="14"/>
  <c r="B18" i="14"/>
  <c r="B23" i="14" s="1"/>
  <c r="C17" i="14"/>
  <c r="B12" i="14"/>
  <c r="B7" i="14"/>
  <c r="AB143" i="12" l="1"/>
  <c r="AB145" i="12"/>
  <c r="AW114" i="12"/>
  <c r="AS118" i="12"/>
  <c r="AQ118" i="12" s="1"/>
  <c r="AN112" i="12" s="1"/>
  <c r="AS116" i="12"/>
  <c r="AN113" i="12" s="1"/>
  <c r="AH114" i="12"/>
  <c r="AE114" i="12" s="1"/>
  <c r="AN66" i="12"/>
  <c r="AN68" i="12"/>
  <c r="BK42" i="12"/>
  <c r="BK40" i="12"/>
  <c r="AN80" i="12"/>
  <c r="AN78" i="12"/>
  <c r="BK27" i="12"/>
  <c r="C38" i="14"/>
  <c r="X160" i="12"/>
  <c r="AD132" i="12"/>
  <c r="AP55" i="12"/>
  <c r="E22" i="14"/>
  <c r="AV41" i="12"/>
  <c r="C37" i="14"/>
  <c r="E37" i="14" s="1"/>
  <c r="BE28" i="12"/>
  <c r="BC31" i="12" s="1"/>
  <c r="AJ98" i="12"/>
  <c r="C22" i="14"/>
  <c r="C23" i="14"/>
  <c r="E23" i="14" s="1"/>
  <c r="X148" i="12"/>
  <c r="V147" i="12" s="1"/>
  <c r="D4" i="16" s="1"/>
  <c r="BE41" i="12"/>
  <c r="E38" i="14"/>
  <c r="C42" i="14"/>
  <c r="AB135" i="12" l="1"/>
  <c r="AB133" i="12"/>
  <c r="V145" i="12"/>
  <c r="C4" i="16" s="1"/>
  <c r="C31" i="16" s="1"/>
  <c r="K4" i="17" s="1"/>
  <c r="BA31" i="12"/>
  <c r="AX29" i="12" s="1"/>
  <c r="AT31" i="12" s="1"/>
  <c r="V159" i="12"/>
  <c r="V157" i="12"/>
  <c r="C3" i="16" s="1"/>
  <c r="AN110" i="12"/>
  <c r="AW99" i="12"/>
  <c r="AS101" i="12" s="1"/>
  <c r="AQ101" i="12" s="1"/>
  <c r="AN99" i="12" s="1"/>
  <c r="AH101" i="12" s="1"/>
  <c r="AS99" i="12"/>
  <c r="BC44" i="12"/>
  <c r="BC42" i="12"/>
  <c r="AN58" i="12"/>
  <c r="AK58" i="12" s="1"/>
  <c r="AN56" i="12"/>
  <c r="BC29" i="12"/>
  <c r="B41" i="14"/>
  <c r="X109" i="12"/>
  <c r="X74" i="12"/>
  <c r="C28" i="14"/>
  <c r="B27" i="14"/>
  <c r="X27" i="12"/>
  <c r="B42" i="14"/>
  <c r="X134" i="12"/>
  <c r="C27" i="14"/>
  <c r="B28" i="14"/>
  <c r="C41" i="14"/>
  <c r="G14" i="16" l="1"/>
  <c r="AI4" i="17" s="1"/>
  <c r="C45" i="16"/>
  <c r="Q4" i="17" s="1"/>
  <c r="C52" i="16"/>
  <c r="W4" i="17" s="1"/>
  <c r="C37" i="16"/>
  <c r="D4" i="17" s="1"/>
  <c r="C17" i="16"/>
  <c r="AC4" i="17" s="1"/>
  <c r="AH112" i="12"/>
  <c r="AN114" i="12"/>
  <c r="C24" i="16"/>
  <c r="AO4" i="17" s="1"/>
  <c r="O153" i="12"/>
  <c r="D3" i="16"/>
  <c r="G13" i="16" s="1"/>
  <c r="AH4" i="17" s="1"/>
  <c r="AX27" i="12"/>
  <c r="AX30" i="12"/>
  <c r="O151" i="12"/>
  <c r="O155" i="12" s="1"/>
  <c r="O154" i="12"/>
  <c r="AX43" i="12"/>
  <c r="AX40" i="12"/>
  <c r="BA44" i="12"/>
  <c r="AX42" i="12" s="1"/>
  <c r="AT44" i="12" s="1"/>
  <c r="AN40" i="12" s="1"/>
  <c r="AK40" i="12" s="1"/>
  <c r="AH45" i="12" s="1"/>
  <c r="AB28" i="12" s="1"/>
  <c r="AE101" i="12"/>
  <c r="AB110" i="12" s="1"/>
  <c r="V110" i="12" s="1"/>
  <c r="D6" i="16" s="1"/>
  <c r="AN97" i="12"/>
  <c r="AN100" i="12"/>
  <c r="AJ86" i="12"/>
  <c r="AJ73" i="12"/>
  <c r="D27" i="14"/>
  <c r="D28" i="14"/>
  <c r="AJ67" i="12"/>
  <c r="C51" i="16" l="1"/>
  <c r="V4" i="17" s="1"/>
  <c r="AT29" i="12"/>
  <c r="AX31" i="12"/>
  <c r="AH99" i="12"/>
  <c r="AB108" i="12" s="1"/>
  <c r="V108" i="12" s="1"/>
  <c r="C6" i="16" s="1"/>
  <c r="AN101" i="12"/>
  <c r="C44" i="16"/>
  <c r="P4" i="17" s="1"/>
  <c r="AT42" i="12"/>
  <c r="AN38" i="12" s="1"/>
  <c r="AH43" i="12" s="1"/>
  <c r="AX44" i="12"/>
  <c r="C33" i="16"/>
  <c r="M4" i="17" s="1"/>
  <c r="C26" i="16"/>
  <c r="AQ4" i="17" s="1"/>
  <c r="C16" i="16"/>
  <c r="AB4" i="17" s="1"/>
  <c r="C23" i="16"/>
  <c r="AN4" i="17" s="1"/>
  <c r="C30" i="16"/>
  <c r="J4" i="17" s="1"/>
  <c r="C10" i="16"/>
  <c r="AH71" i="12"/>
  <c r="AH69" i="12"/>
  <c r="AH82" i="12"/>
  <c r="AH80" i="12"/>
  <c r="C47" i="16" l="1"/>
  <c r="G16" i="16"/>
  <c r="AK4" i="17" s="1"/>
  <c r="C54" i="16"/>
  <c r="C19" i="16"/>
  <c r="AE4" i="17" s="1"/>
  <c r="C40" i="16"/>
  <c r="AB73" i="12"/>
  <c r="AB77" i="12"/>
  <c r="AB75" i="12"/>
  <c r="V46" i="12" s="1"/>
  <c r="AB30" i="12"/>
  <c r="AB26" i="12"/>
  <c r="V44" i="12" l="1"/>
  <c r="C5" i="16" s="1"/>
  <c r="AB31" i="12"/>
  <c r="G4" i="17"/>
  <c r="Y4" i="17"/>
  <c r="S4" i="17"/>
  <c r="R46" i="12"/>
  <c r="D5" i="16" s="1"/>
  <c r="O79" i="12"/>
  <c r="E114" i="12" s="1"/>
  <c r="O80" i="12"/>
  <c r="O77" i="12"/>
  <c r="O81" i="12" l="1"/>
  <c r="C39" i="16"/>
  <c r="C53" i="16"/>
  <c r="G15" i="16"/>
  <c r="AJ4" i="17" s="1"/>
  <c r="C46" i="16"/>
  <c r="E112" i="12"/>
  <c r="E115" i="12"/>
  <c r="E113" i="12"/>
  <c r="E116" i="12" s="1"/>
  <c r="C18" i="16"/>
  <c r="AD4" i="17" s="1"/>
  <c r="C32" i="16"/>
  <c r="C12" i="16"/>
  <c r="C11" i="16"/>
  <c r="C38" i="16"/>
  <c r="E4" i="17" s="1"/>
  <c r="C25" i="16"/>
  <c r="AP4" i="17" s="1"/>
  <c r="E33" i="16" l="1"/>
  <c r="L4" i="17"/>
  <c r="R4" i="17"/>
  <c r="E47" i="16"/>
  <c r="X4" i="17"/>
  <c r="E54" i="16"/>
  <c r="F4" i="17"/>
  <c r="E40" i="16"/>
</calcChain>
</file>

<file path=xl/sharedStrings.xml><?xml version="1.0" encoding="utf-8"?>
<sst xmlns="http://schemas.openxmlformats.org/spreadsheetml/2006/main" count="2627" uniqueCount="213">
  <si>
    <t>Prior Proabilities</t>
  </si>
  <si>
    <t>p{s}</t>
  </si>
  <si>
    <t>p{h}</t>
  </si>
  <si>
    <t>Conditional Probabilities (p[T+|S])</t>
  </si>
  <si>
    <t>Sick (s)</t>
  </si>
  <si>
    <t>Healthy (h)</t>
  </si>
  <si>
    <t>Test -ve</t>
  </si>
  <si>
    <t>Test +ve</t>
  </si>
  <si>
    <t>Probabilitiies</t>
  </si>
  <si>
    <t>Joint Proabilities (p[T+,s] = p[s].p[T+|s)</t>
  </si>
  <si>
    <t>sick(s)</t>
  </si>
  <si>
    <t>p[T+]=</t>
  </si>
  <si>
    <t>p[T-]=</t>
  </si>
  <si>
    <r>
      <rPr>
        <b/>
        <sz val="12"/>
        <color theme="1"/>
        <rFont val="Aptos Narrow"/>
        <scheme val="minor"/>
      </rPr>
      <t>Predictive Values(p[s|T+) = p[T+, s]/p[T+</t>
    </r>
    <r>
      <rPr>
        <sz val="12"/>
        <color theme="1"/>
        <rFont val="Aptos Narrow"/>
        <family val="2"/>
        <scheme val="minor"/>
      </rPr>
      <t xml:space="preserve"> )</t>
    </r>
  </si>
  <si>
    <t xml:space="preserve">sick (s) </t>
  </si>
  <si>
    <t>Test</t>
  </si>
  <si>
    <t>No Test</t>
  </si>
  <si>
    <t xml:space="preserve"> </t>
  </si>
  <si>
    <t>p(SVD)</t>
  </si>
  <si>
    <t>p(MVD)</t>
  </si>
  <si>
    <t>p[no disease]</t>
  </si>
  <si>
    <t>SVD</t>
  </si>
  <si>
    <t>MVD</t>
  </si>
  <si>
    <t>Success</t>
  </si>
  <si>
    <t>Fail</t>
  </si>
  <si>
    <t>For EST:</t>
  </si>
  <si>
    <t>ANG</t>
  </si>
  <si>
    <t>CABG</t>
  </si>
  <si>
    <t>Probabilities of CABG success/failure</t>
  </si>
  <si>
    <t>P[MVD|S]</t>
  </si>
  <si>
    <t>P[SVD|S]</t>
  </si>
  <si>
    <t>P[S|+VE]</t>
  </si>
  <si>
    <t>MM</t>
  </si>
  <si>
    <t>P[H|+VE]</t>
  </si>
  <si>
    <t>Alive</t>
  </si>
  <si>
    <t>Dead</t>
  </si>
  <si>
    <t>EST</t>
  </si>
  <si>
    <t>No Treat</t>
  </si>
  <si>
    <t>P[S]</t>
  </si>
  <si>
    <t>P[H]</t>
  </si>
  <si>
    <t>No treat</t>
  </si>
  <si>
    <t>P[S|-ve]</t>
  </si>
  <si>
    <t>P[H|-ve]</t>
  </si>
  <si>
    <t>P[MVD|D]</t>
  </si>
  <si>
    <t xml:space="preserve">Different Strategy Strands for the Treatment of Severe Angina </t>
  </si>
  <si>
    <t>p(SVD|S]</t>
  </si>
  <si>
    <t>p[SVD]</t>
  </si>
  <si>
    <t>p[MVD]</t>
  </si>
  <si>
    <t>`</t>
  </si>
  <si>
    <r>
      <rPr>
        <b/>
        <sz val="12"/>
        <color theme="1"/>
        <rFont val="Aptos Narrow"/>
        <scheme val="minor"/>
      </rPr>
      <t>Predictive Values(p[s|+ve) = p[T+, s]/p[T+</t>
    </r>
    <r>
      <rPr>
        <sz val="12"/>
        <color theme="1"/>
        <rFont val="Aptos Narrow"/>
        <family val="2"/>
        <scheme val="minor"/>
      </rPr>
      <t xml:space="preserve"> )</t>
    </r>
  </si>
  <si>
    <t>For ANG:</t>
  </si>
  <si>
    <t>Probabilities of Death (p[D|SVD]</t>
  </si>
  <si>
    <t>Probabilities of Alive (p[A|SVD])</t>
  </si>
  <si>
    <t>QALY CALCULATION</t>
  </si>
  <si>
    <t>ROSSER MATRIX</t>
  </si>
  <si>
    <t xml:space="preserve">Disability </t>
  </si>
  <si>
    <t>A</t>
  </si>
  <si>
    <t>B</t>
  </si>
  <si>
    <t>C</t>
  </si>
  <si>
    <t>D</t>
  </si>
  <si>
    <t>I</t>
  </si>
  <si>
    <t>II</t>
  </si>
  <si>
    <t>III</t>
  </si>
  <si>
    <t>IV</t>
  </si>
  <si>
    <t>V</t>
  </si>
  <si>
    <t>VI</t>
  </si>
  <si>
    <t>VII</t>
  </si>
  <si>
    <t>VIII</t>
  </si>
  <si>
    <t>-</t>
  </si>
  <si>
    <t>Severe Pain&gt; SVD&gt; CABG</t>
  </si>
  <si>
    <t>Severe Pain&gt;MVD&gt;CABG</t>
  </si>
  <si>
    <t>Health States</t>
  </si>
  <si>
    <t>Disability/Stress
 level</t>
  </si>
  <si>
    <t>Utility
Values</t>
  </si>
  <si>
    <t>QALY</t>
  </si>
  <si>
    <t>IA</t>
  </si>
  <si>
    <t>IB</t>
  </si>
  <si>
    <t>IIA</t>
  </si>
  <si>
    <t>IIB</t>
  </si>
  <si>
    <t>IIIB</t>
  </si>
  <si>
    <t>IVC</t>
  </si>
  <si>
    <t>IIC</t>
  </si>
  <si>
    <t>IIIC</t>
  </si>
  <si>
    <t>VC</t>
  </si>
  <si>
    <t>VID</t>
  </si>
  <si>
    <t>VIID</t>
  </si>
  <si>
    <t>Total QALY</t>
  </si>
  <si>
    <t>Total Qaly</t>
  </si>
  <si>
    <t>Severe Pain&gt; SVD&gt; MM</t>
  </si>
  <si>
    <t>Severe Pain&gt; MVD&gt; MM</t>
  </si>
  <si>
    <t>IVD</t>
  </si>
  <si>
    <t>VD</t>
  </si>
  <si>
    <t>Toral QALY</t>
  </si>
  <si>
    <t>Severe Pain &gt;SVD&gt;No Treatment</t>
  </si>
  <si>
    <t>Severe Pain &gt;MVD&gt;No Treatment</t>
  </si>
  <si>
    <t>DISCOUNT FACTOR</t>
  </si>
  <si>
    <t>Discount
 Rate =</t>
  </si>
  <si>
    <t>Discounted QALY</t>
  </si>
  <si>
    <t>COSTS  CALCULATION</t>
  </si>
  <si>
    <t>Given Cost Values (GBP):</t>
  </si>
  <si>
    <t>cost_EST</t>
  </si>
  <si>
    <t>cost_ANG</t>
  </si>
  <si>
    <t>cost_MM_postCABG</t>
  </si>
  <si>
    <t>cost_MM_severe</t>
  </si>
  <si>
    <t>cost_CABG</t>
  </si>
  <si>
    <t>MM for SVD&gt; CABG(Successful)</t>
  </si>
  <si>
    <t>year</t>
  </si>
  <si>
    <t>Cost</t>
  </si>
  <si>
    <t>Dis. Cost</t>
  </si>
  <si>
    <t>Total</t>
  </si>
  <si>
    <t>MM for MVD&gt; CABG(Successful)</t>
  </si>
  <si>
    <t>MM for SVD&gt; CABG(Failure)</t>
  </si>
  <si>
    <t>MM for MVD&gt; CABG(Failure)</t>
  </si>
  <si>
    <t>MM for SVD</t>
  </si>
  <si>
    <t>MM for MVD</t>
  </si>
  <si>
    <t>cost_NT</t>
  </si>
  <si>
    <t>cost</t>
  </si>
  <si>
    <t>EV</t>
  </si>
  <si>
    <t>EC</t>
  </si>
  <si>
    <t>Years</t>
  </si>
  <si>
    <t>TOTAL</t>
  </si>
  <si>
    <t>Utility Values</t>
  </si>
  <si>
    <t>Severe Pain&gt;Healthy&gt;No Treatment</t>
  </si>
  <si>
    <t>EC+CABG</t>
  </si>
  <si>
    <t>EC+ANG</t>
  </si>
  <si>
    <t>EST Cost</t>
  </si>
  <si>
    <t>EC+EST</t>
  </si>
  <si>
    <t>ANG COST</t>
  </si>
  <si>
    <t>CABG Cost</t>
  </si>
  <si>
    <t>ANG Cost</t>
  </si>
  <si>
    <t>Optimal</t>
  </si>
  <si>
    <t xml:space="preserve">Optimal </t>
  </si>
  <si>
    <t>Expected QALY</t>
  </si>
  <si>
    <t>Expected cost</t>
  </si>
  <si>
    <t>Value of test</t>
  </si>
  <si>
    <t>Optimal Strategy</t>
  </si>
  <si>
    <t>Strategy</t>
  </si>
  <si>
    <t>QALYs</t>
  </si>
  <si>
    <t>No Treatment</t>
  </si>
  <si>
    <t>Medical Management</t>
  </si>
  <si>
    <t>Exercise Stress Test</t>
  </si>
  <si>
    <t>Angiography</t>
  </si>
  <si>
    <t>ICER CALCULATION</t>
  </si>
  <si>
    <t>MM vs No treatment</t>
  </si>
  <si>
    <t>EST vs MM</t>
  </si>
  <si>
    <t>ANG vs EST</t>
  </si>
  <si>
    <t>NMB @ threshold</t>
  </si>
  <si>
    <t>MM for Healthy/no treatment</t>
  </si>
  <si>
    <t>NMB</t>
  </si>
  <si>
    <t>Base cost-effectiveness threshold</t>
  </si>
  <si>
    <t>BASE CASE (£10,000 THRESHOLD)</t>
  </si>
  <si>
    <t>P(S)</t>
  </si>
  <si>
    <t>BASE CASE (£5,000 THRESHOLD)</t>
  </si>
  <si>
    <t>BASE CASE (£15,000 THRESHOLD)</t>
  </si>
  <si>
    <t>BASE CASE (£20,000 THRESHOLD)</t>
  </si>
  <si>
    <t>BASE CASE (£25,000 THRESHOLD)</t>
  </si>
  <si>
    <t>BASE CASE (£30,000 THRESHOLD)</t>
  </si>
  <si>
    <t>BASE CASE (£35,000 THRESHOLD)</t>
  </si>
  <si>
    <t>PERFECT INFORMATION (£10,000 THRESHOLD)</t>
  </si>
  <si>
    <t>PERFECT INFORMATION (£20,000 THRESHOLD)</t>
  </si>
  <si>
    <t>PERFECT INFORMATION (£30,000 THRESHOLD)</t>
  </si>
  <si>
    <t>MVD-SVD BASE CASE (£10,000 THRESHOLD)</t>
  </si>
  <si>
    <t>MVD-SVD BASE CASE (£20,000 THRESHOLD)</t>
  </si>
  <si>
    <t>MVD-SVD BASE CASE (£30,000 THRESHOLD)</t>
  </si>
  <si>
    <t>ANG SVD RISK BASE CASE (£10,000 THRESHOLD)</t>
  </si>
  <si>
    <t>ANG SVD RISK BASE CASE (£20,000 THRESHOLD)</t>
  </si>
  <si>
    <t>ANG SVD-RISK BASE CASE (£30,000 THRESHOLD)</t>
  </si>
  <si>
    <t>ANG MVD-RISK BASE CASE (£10,000 THRESHOLD)</t>
  </si>
  <si>
    <t>ANG MVD-RISK BASE CASE (£20,000 THRESHOLD)</t>
  </si>
  <si>
    <t>ANG MVD-RISK BASE CASE (£30,000 THRESHOLD)</t>
  </si>
  <si>
    <t>ANG HEALTHY-RISK BASE CASE (£10,000 THRESHOLD)</t>
  </si>
  <si>
    <t>ANG HEALTHY-RISK BASE CASE (£20,000 THRESHOLD)</t>
  </si>
  <si>
    <t>ANG HEALTHY-RISK BASE CASE (£30,000 THRESHOLD)</t>
  </si>
  <si>
    <t>CABG SVD-RISK BASE CASE (£10,000 THRESHOLD)</t>
  </si>
  <si>
    <t>CABG SVD-RISK BASE CASE (£20,000 THRESHOLD)</t>
  </si>
  <si>
    <t>CABG SVD-RISK BASE CASE (£30,000 THRESHOLD)</t>
  </si>
  <si>
    <t>CABG MVD-RISK BASE CASE (£20,000 THRESHOLD)</t>
  </si>
  <si>
    <t>CABG MVD-RISK BASE CASE (£10,000 THRESHOLD)</t>
  </si>
  <si>
    <t>CABG MVD-RISK BASE CASE (£30,000 THRESHOLD)</t>
  </si>
  <si>
    <t>CABG SVD-SUCCESS BASE CASE (£10,000 THRESHOLD)</t>
  </si>
  <si>
    <t>CABG SVD-SUCCESS BASE CASE (£20,000 THRESHOLD)</t>
  </si>
  <si>
    <t>CABG SVD-SUCCESS BASE CASE (£30,000 THRESHOLD)</t>
  </si>
  <si>
    <t>CABG MVD-SUCCESS BASE CASE (£10,000 THRESHOLD)</t>
  </si>
  <si>
    <t>CABG MVD-SUCCESS BASE CASE (£20,000 THRESHOLD)</t>
  </si>
  <si>
    <t>CABG MVD-SUCCESS BASE CASE (£30,000 THRESHOLD)</t>
  </si>
  <si>
    <t>COST-EFFECTIVENESS THRESHOLD (P(s) = 0.9)</t>
  </si>
  <si>
    <t>HEALTH DISCOUNT RATE BASE-CASE (£10,000 THR)</t>
  </si>
  <si>
    <t>HEALTH DISCOUNT RATE BASE-CASE (£20,000 THR)</t>
  </si>
  <si>
    <t>HEALTH DISCOUNT RATE BASE-CASE (£30,000 THR)</t>
  </si>
  <si>
    <t>COST DISCOUNT RATE BASE-CASE (£10,000 THR)</t>
  </si>
  <si>
    <t>COST DISCOUNT RATE BASE-CASE (£20,000 THR)</t>
  </si>
  <si>
    <t>COST DISCOUNT RATE BASE-CASE (£30,000 THR)</t>
  </si>
  <si>
    <t>Perfect EST</t>
  </si>
  <si>
    <t>Base EST</t>
  </si>
  <si>
    <t>P(MVD)</t>
  </si>
  <si>
    <t>P(SVD Death)</t>
  </si>
  <si>
    <t>P(MVD Death)</t>
  </si>
  <si>
    <t>P(H Death)</t>
  </si>
  <si>
    <t>P(SVD ANG Death)</t>
  </si>
  <si>
    <t>P(MVD ANG Death)</t>
  </si>
  <si>
    <t>P(SVD SUCCESS)</t>
  </si>
  <si>
    <t>P(MVD SUCCESS)</t>
  </si>
  <si>
    <t>CER</t>
  </si>
  <si>
    <t>Disc Rate</t>
  </si>
  <si>
    <t>NT</t>
  </si>
  <si>
    <t>Two-way sensitivity anaysis: Health Discount Rate (Column) vs Cost Discount Rate (Rows) - £10,000</t>
  </si>
  <si>
    <t>Two-way sensitivity anaysis: Health Discount Rate (Column) vs Cost Discount Rate (Rows) - $5000</t>
  </si>
  <si>
    <t>TWO-WAY SENSITIVITY ANALYSIS (Prevalence and Threshold)</t>
  </si>
  <si>
    <t>TWO-WAY SENSITIVITY ANALYSIS (Cost Discount Rate &amp; Cost Threshold)</t>
  </si>
  <si>
    <t>TWO-WAY SENSITIVITY ANALYSIS (Qaly Discount Rate &amp; CER)</t>
  </si>
  <si>
    <t>Two-way Sensitivity Analysis:  Probability of Disease and Cost-effectiveness threshold</t>
  </si>
  <si>
    <t>Surgical Success: CABG Success Rate vs. CABG Cost</t>
  </si>
  <si>
    <t>EST: SPECIFICITY (COLUMN) VS. SENSITIVITY (ROWS)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</si>
</sst>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2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9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B05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2" tint="-0.499984740745262"/>
      <name val="Aptos Narrow"/>
      <scheme val="minor"/>
    </font>
    <font>
      <sz val="12"/>
      <color theme="1"/>
      <name val="Times New Roman"/>
      <family val="1"/>
    </font>
    <font>
      <u/>
      <sz val="48"/>
      <color theme="1"/>
      <name val="Times New Roman"/>
      <family val="1"/>
    </font>
    <font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0" fillId="0" borderId="0"/>
  </cellStyleXfs>
  <cellXfs count="19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2" fontId="1" fillId="0" borderId="0" xfId="0" applyNumberFormat="1" applyFont="1"/>
    <xf numFmtId="2" fontId="0" fillId="0" borderId="0" xfId="0" applyNumberForma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3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0" fillId="0" borderId="6" xfId="0" applyBorder="1"/>
    <xf numFmtId="0" fontId="0" fillId="0" borderId="4" xfId="0" applyBorder="1"/>
    <xf numFmtId="0" fontId="1" fillId="0" borderId="6" xfId="0" applyFont="1" applyBorder="1"/>
    <xf numFmtId="0" fontId="5" fillId="0" borderId="4" xfId="0" applyFont="1" applyBorder="1"/>
    <xf numFmtId="0" fontId="0" fillId="0" borderId="7" xfId="0" applyBorder="1"/>
    <xf numFmtId="2" fontId="1" fillId="0" borderId="8" xfId="0" applyNumberFormat="1" applyFont="1" applyBorder="1"/>
    <xf numFmtId="2" fontId="0" fillId="0" borderId="8" xfId="0" applyNumberFormat="1" applyBorder="1"/>
    <xf numFmtId="0" fontId="0" fillId="0" borderId="9" xfId="0" applyBorder="1"/>
    <xf numFmtId="0" fontId="1" fillId="0" borderId="8" xfId="0" applyFont="1" applyBorder="1"/>
    <xf numFmtId="0" fontId="0" fillId="0" borderId="8" xfId="0" applyBorder="1"/>
    <xf numFmtId="0" fontId="6" fillId="0" borderId="6" xfId="0" applyFont="1" applyBorder="1"/>
    <xf numFmtId="0" fontId="6" fillId="0" borderId="8" xfId="0" applyFont="1" applyBorder="1"/>
    <xf numFmtId="0" fontId="6" fillId="0" borderId="9" xfId="0" applyFont="1" applyBorder="1"/>
    <xf numFmtId="0" fontId="1" fillId="0" borderId="9" xfId="0" applyFont="1" applyBorder="1"/>
    <xf numFmtId="0" fontId="3" fillId="4" borderId="5" xfId="0" applyFont="1" applyFill="1" applyBorder="1"/>
    <xf numFmtId="2" fontId="3" fillId="2" borderId="5" xfId="0" applyNumberFormat="1" applyFont="1" applyFill="1" applyBorder="1"/>
    <xf numFmtId="0" fontId="3" fillId="2" borderId="5" xfId="0" applyFont="1" applyFill="1" applyBorder="1"/>
    <xf numFmtId="2" fontId="3" fillId="4" borderId="5" xfId="0" applyNumberFormat="1" applyFont="1" applyFill="1" applyBorder="1"/>
    <xf numFmtId="0" fontId="3" fillId="3" borderId="5" xfId="0" applyFont="1" applyFill="1" applyBorder="1"/>
    <xf numFmtId="164" fontId="0" fillId="0" borderId="0" xfId="0" applyNumberFormat="1"/>
    <xf numFmtId="164" fontId="0" fillId="0" borderId="6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3" fillId="6" borderId="1" xfId="0" applyFont="1" applyFill="1" applyBorder="1"/>
    <xf numFmtId="0" fontId="3" fillId="6" borderId="2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7" borderId="4" xfId="0" applyFill="1" applyBorder="1"/>
    <xf numFmtId="0" fontId="0" fillId="7" borderId="0" xfId="0" applyFill="1"/>
    <xf numFmtId="0" fontId="0" fillId="7" borderId="6" xfId="0" applyFill="1" applyBorder="1"/>
    <xf numFmtId="0" fontId="11" fillId="7" borderId="4" xfId="0" applyFont="1" applyFill="1" applyBorder="1"/>
    <xf numFmtId="0" fontId="11" fillId="7" borderId="7" xfId="0" applyFont="1" applyFill="1" applyBorder="1"/>
    <xf numFmtId="0" fontId="11" fillId="0" borderId="0" xfId="0" applyFont="1"/>
    <xf numFmtId="0" fontId="8" fillId="0" borderId="4" xfId="0" applyFont="1" applyBorder="1"/>
    <xf numFmtId="0" fontId="14" fillId="6" borderId="1" xfId="0" applyFont="1" applyFill="1" applyBorder="1"/>
    <xf numFmtId="0" fontId="11" fillId="5" borderId="4" xfId="0" applyFont="1" applyFill="1" applyBorder="1"/>
    <xf numFmtId="0" fontId="0" fillId="5" borderId="0" xfId="0" applyFill="1" applyAlignment="1">
      <alignment wrapText="1"/>
    </xf>
    <xf numFmtId="0" fontId="0" fillId="5" borderId="0" xfId="0" applyFill="1"/>
    <xf numFmtId="0" fontId="0" fillId="5" borderId="6" xfId="0" applyFill="1" applyBorder="1"/>
    <xf numFmtId="0" fontId="9" fillId="6" borderId="1" xfId="0" applyFont="1" applyFill="1" applyBorder="1"/>
    <xf numFmtId="0" fontId="15" fillId="5" borderId="4" xfId="0" applyFont="1" applyFill="1" applyBorder="1"/>
    <xf numFmtId="164" fontId="0" fillId="6" borderId="3" xfId="0" applyNumberFormat="1" applyFill="1" applyBorder="1"/>
    <xf numFmtId="0" fontId="11" fillId="8" borderId="7" xfId="0" applyFont="1" applyFill="1" applyBorder="1" applyAlignment="1">
      <alignment wrapText="1"/>
    </xf>
    <xf numFmtId="164" fontId="0" fillId="9" borderId="9" xfId="0" applyNumberFormat="1" applyFill="1" applyBorder="1"/>
    <xf numFmtId="0" fontId="0" fillId="9" borderId="8" xfId="0" applyFill="1" applyBorder="1"/>
    <xf numFmtId="0" fontId="0" fillId="0" borderId="1" xfId="0" applyBorder="1"/>
    <xf numFmtId="0" fontId="0" fillId="6" borderId="1" xfId="0" applyFill="1" applyBorder="1"/>
    <xf numFmtId="0" fontId="0" fillId="8" borderId="10" xfId="0" applyFill="1" applyBorder="1"/>
    <xf numFmtId="0" fontId="0" fillId="8" borderId="11" xfId="0" applyFill="1" applyBorder="1"/>
    <xf numFmtId="0" fontId="14" fillId="8" borderId="4" xfId="0" applyFont="1" applyFill="1" applyBorder="1"/>
    <xf numFmtId="0" fontId="7" fillId="8" borderId="0" xfId="0" applyFont="1" applyFill="1"/>
    <xf numFmtId="0" fontId="7" fillId="8" borderId="6" xfId="0" applyFont="1" applyFill="1" applyBorder="1"/>
    <xf numFmtId="0" fontId="7" fillId="0" borderId="0" xfId="0" applyFont="1"/>
    <xf numFmtId="0" fontId="4" fillId="0" borderId="6" xfId="0" applyFont="1" applyBorder="1"/>
    <xf numFmtId="0" fontId="6" fillId="0" borderId="3" xfId="0" applyFont="1" applyBorder="1"/>
    <xf numFmtId="0" fontId="0" fillId="10" borderId="9" xfId="0" applyFill="1" applyBorder="1"/>
    <xf numFmtId="164" fontId="0" fillId="10" borderId="9" xfId="0" applyNumberFormat="1" applyFill="1" applyBorder="1"/>
    <xf numFmtId="0" fontId="3" fillId="0" borderId="0" xfId="0" applyFont="1" applyAlignment="1">
      <alignment horizontal="center"/>
    </xf>
    <xf numFmtId="0" fontId="3" fillId="8" borderId="0" xfId="0" applyFont="1" applyFill="1"/>
    <xf numFmtId="0" fontId="3" fillId="10" borderId="0" xfId="0" applyFont="1" applyFill="1"/>
    <xf numFmtId="0" fontId="0" fillId="8" borderId="0" xfId="0" applyFill="1"/>
    <xf numFmtId="0" fontId="0" fillId="10" borderId="0" xfId="0" applyFill="1"/>
    <xf numFmtId="0" fontId="9" fillId="0" borderId="0" xfId="0" applyFont="1"/>
    <xf numFmtId="0" fontId="17" fillId="0" borderId="6" xfId="0" applyFont="1" applyBorder="1"/>
    <xf numFmtId="0" fontId="16" fillId="5" borderId="7" xfId="0" applyFont="1" applyFill="1" applyBorder="1"/>
    <xf numFmtId="0" fontId="16" fillId="5" borderId="8" xfId="0" applyFont="1" applyFill="1" applyBorder="1"/>
    <xf numFmtId="0" fontId="16" fillId="5" borderId="9" xfId="0" applyFont="1" applyFill="1" applyBorder="1"/>
    <xf numFmtId="0" fontId="0" fillId="0" borderId="12" xfId="0" applyBorder="1"/>
    <xf numFmtId="0" fontId="16" fillId="0" borderId="13" xfId="0" applyFont="1" applyBorder="1"/>
    <xf numFmtId="0" fontId="18" fillId="0" borderId="15" xfId="0" applyFont="1" applyBorder="1"/>
    <xf numFmtId="0" fontId="16" fillId="0" borderId="4" xfId="0" applyFont="1" applyBorder="1"/>
    <xf numFmtId="0" fontId="16" fillId="0" borderId="0" xfId="0" applyFont="1"/>
    <xf numFmtId="0" fontId="0" fillId="9" borderId="14" xfId="0" applyFill="1" applyBorder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8" borderId="5" xfId="0" applyFill="1" applyBorder="1"/>
    <xf numFmtId="0" fontId="0" fillId="10" borderId="5" xfId="0" applyFill="1" applyBorder="1"/>
    <xf numFmtId="0" fontId="0" fillId="11" borderId="0" xfId="0" applyFill="1"/>
    <xf numFmtId="0" fontId="5" fillId="11" borderId="0" xfId="0" applyFont="1" applyFill="1"/>
    <xf numFmtId="0" fontId="10" fillId="0" borderId="0" xfId="0" applyFont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3" fillId="12" borderId="0" xfId="0" applyFont="1" applyFill="1"/>
    <xf numFmtId="0" fontId="0" fillId="12" borderId="0" xfId="0" applyFill="1"/>
    <xf numFmtId="0" fontId="3" fillId="1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12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  <xf numFmtId="0" fontId="0" fillId="13" borderId="1" xfId="0" applyFill="1" applyBorder="1"/>
    <xf numFmtId="0" fontId="0" fillId="13" borderId="2" xfId="0" applyFill="1" applyBorder="1"/>
    <xf numFmtId="0" fontId="0" fillId="13" borderId="4" xfId="0" applyFill="1" applyBorder="1"/>
    <xf numFmtId="0" fontId="0" fillId="13" borderId="0" xfId="0" applyFill="1"/>
    <xf numFmtId="0" fontId="0" fillId="13" borderId="7" xfId="0" applyFill="1" applyBorder="1"/>
    <xf numFmtId="0" fontId="0" fillId="13" borderId="8" xfId="0" applyFill="1" applyBorder="1"/>
    <xf numFmtId="0" fontId="6" fillId="0" borderId="3" xfId="0" applyFont="1" applyBorder="1" applyAlignment="1">
      <alignment horizontal="right"/>
    </xf>
    <xf numFmtId="0" fontId="16" fillId="0" borderId="0" xfId="0" applyFont="1" applyAlignment="1">
      <alignment horizontal="center"/>
    </xf>
    <xf numFmtId="0" fontId="19" fillId="0" borderId="0" xfId="0" applyFont="1"/>
    <xf numFmtId="3" fontId="0" fillId="12" borderId="0" xfId="0" applyNumberFormat="1" applyFill="1"/>
    <xf numFmtId="0" fontId="16" fillId="6" borderId="1" xfId="0" applyFont="1" applyFill="1" applyBorder="1" applyAlignment="1">
      <alignment horizontal="left"/>
    </xf>
    <xf numFmtId="0" fontId="16" fillId="6" borderId="2" xfId="0" applyFont="1" applyFill="1" applyBorder="1" applyAlignment="1">
      <alignment horizontal="left"/>
    </xf>
    <xf numFmtId="0" fontId="16" fillId="6" borderId="3" xfId="0" applyFont="1" applyFill="1" applyBorder="1" applyAlignment="1">
      <alignment horizontal="left"/>
    </xf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0" borderId="0" xfId="0" applyFont="1" applyFill="1" applyBorder="1" applyAlignment="1">
      <alignment horizontal="center" vertical="center"/>
    </xf>
    <xf numFmtId="0" fontId="0" fillId="13" borderId="0" xfId="0" applyFill="1" applyBorder="1"/>
    <xf numFmtId="0" fontId="0" fillId="0" borderId="5" xfId="0" applyBorder="1"/>
    <xf numFmtId="3" fontId="0" fillId="0" borderId="5" xfId="0" applyNumberFormat="1" applyBorder="1" applyAlignment="1"/>
    <xf numFmtId="3" fontId="0" fillId="0" borderId="0" xfId="0" applyNumberFormat="1" applyBorder="1" applyAlignment="1"/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8" fillId="0" borderId="0" xfId="0" applyFont="1"/>
    <xf numFmtId="0" fontId="0" fillId="7" borderId="17" xfId="0" applyFill="1" applyBorder="1"/>
    <xf numFmtId="3" fontId="0" fillId="7" borderId="17" xfId="0" applyNumberFormat="1" applyFill="1" applyBorder="1"/>
    <xf numFmtId="2" fontId="0" fillId="7" borderId="17" xfId="0" applyNumberFormat="1" applyFill="1" applyBorder="1"/>
    <xf numFmtId="0" fontId="0" fillId="7" borderId="18" xfId="0" applyFill="1" applyBorder="1"/>
    <xf numFmtId="0" fontId="0" fillId="4" borderId="2" xfId="0" applyFill="1" applyBorder="1"/>
    <xf numFmtId="0" fontId="0" fillId="4" borderId="3" xfId="0" applyFill="1" applyBorder="1"/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" xfId="0" applyFont="1" applyBorder="1"/>
    <xf numFmtId="0" fontId="16" fillId="0" borderId="2" xfId="0" applyFont="1" applyBorder="1"/>
    <xf numFmtId="0" fontId="16" fillId="0" borderId="3" xfId="0" applyFont="1" applyBorder="1"/>
    <xf numFmtId="0" fontId="0" fillId="14" borderId="0" xfId="0" applyFill="1"/>
    <xf numFmtId="0" fontId="0" fillId="14" borderId="6" xfId="0" applyFill="1" applyBorder="1"/>
    <xf numFmtId="0" fontId="16" fillId="15" borderId="4" xfId="0" applyFont="1" applyFill="1" applyBorder="1"/>
    <xf numFmtId="0" fontId="0" fillId="14" borderId="4" xfId="0" applyFill="1" applyBorder="1"/>
    <xf numFmtId="0" fontId="0" fillId="12" borderId="4" xfId="0" applyFill="1" applyBorder="1"/>
    <xf numFmtId="0" fontId="0" fillId="12" borderId="7" xfId="0" applyFill="1" applyBorder="1"/>
    <xf numFmtId="0" fontId="20" fillId="0" borderId="0" xfId="1"/>
    <xf numFmtId="0" fontId="20" fillId="0" borderId="9" xfId="1" applyBorder="1"/>
    <xf numFmtId="0" fontId="20" fillId="0" borderId="8" xfId="1" applyBorder="1"/>
    <xf numFmtId="0" fontId="17" fillId="0" borderId="7" xfId="1" applyFont="1" applyBorder="1"/>
    <xf numFmtId="0" fontId="20" fillId="0" borderId="7" xfId="1" applyBorder="1"/>
    <xf numFmtId="0" fontId="20" fillId="0" borderId="6" xfId="1" applyBorder="1"/>
    <xf numFmtId="0" fontId="17" fillId="0" borderId="4" xfId="1" applyFont="1" applyBorder="1"/>
    <xf numFmtId="0" fontId="20" fillId="12" borderId="0" xfId="1" applyFill="1"/>
    <xf numFmtId="0" fontId="20" fillId="12" borderId="4" xfId="1" applyFill="1" applyBorder="1"/>
    <xf numFmtId="0" fontId="17" fillId="0" borderId="6" xfId="1" applyFont="1" applyBorder="1"/>
    <xf numFmtId="0" fontId="17" fillId="0" borderId="0" xfId="1" applyFont="1"/>
    <xf numFmtId="0" fontId="20" fillId="0" borderId="0" xfId="1"/>
    <xf numFmtId="0" fontId="20" fillId="7" borderId="0" xfId="1" applyFill="1"/>
    <xf numFmtId="0" fontId="20" fillId="14" borderId="6" xfId="1" applyFill="1" applyBorder="1"/>
    <xf numFmtId="0" fontId="20" fillId="14" borderId="0" xfId="1" applyFill="1"/>
    <xf numFmtId="0" fontId="17" fillId="0" borderId="6" xfId="1" applyFont="1" applyBorder="1" applyAlignment="1">
      <alignment horizontal="center"/>
    </xf>
    <xf numFmtId="0" fontId="17" fillId="0" borderId="0" xfId="1" applyFont="1" applyAlignment="1">
      <alignment horizontal="center"/>
    </xf>
    <xf numFmtId="0" fontId="21" fillId="12" borderId="4" xfId="1" applyFont="1" applyFill="1" applyBorder="1" applyAlignment="1">
      <alignment horizontal="center"/>
    </xf>
    <xf numFmtId="0" fontId="16" fillId="0" borderId="0" xfId="1" applyFont="1"/>
    <xf numFmtId="0" fontId="20" fillId="16" borderId="0" xfId="1" applyFill="1"/>
    <xf numFmtId="0" fontId="22" fillId="0" borderId="3" xfId="1" applyFont="1" applyBorder="1"/>
    <xf numFmtId="0" fontId="22" fillId="0" borderId="2" xfId="1" applyFont="1" applyBorder="1"/>
    <xf numFmtId="0" fontId="22" fillId="0" borderId="1" xfId="1" applyFont="1" applyBorder="1"/>
    <xf numFmtId="0" fontId="16" fillId="0" borderId="3" xfId="1" applyFont="1" applyBorder="1"/>
    <xf numFmtId="0" fontId="16" fillId="0" borderId="2" xfId="1" applyFont="1" applyBorder="1"/>
    <xf numFmtId="0" fontId="16" fillId="0" borderId="1" xfId="1" applyFont="1" applyBorder="1"/>
    <xf numFmtId="0" fontId="22" fillId="0" borderId="3" xfId="1" applyFont="1" applyBorder="1" applyAlignment="1">
      <alignment horizontal="center"/>
    </xf>
    <xf numFmtId="0" fontId="22" fillId="0" borderId="2" xfId="1" applyFont="1" applyBorder="1" applyAlignment="1">
      <alignment horizontal="center"/>
    </xf>
    <xf numFmtId="0" fontId="22" fillId="0" borderId="1" xfId="1" applyFont="1" applyBorder="1" applyAlignment="1">
      <alignment horizontal="center"/>
    </xf>
    <xf numFmtId="0" fontId="16" fillId="4" borderId="1" xfId="0" applyFont="1" applyFill="1" applyBorder="1"/>
    <xf numFmtId="0" fontId="0" fillId="7" borderId="2" xfId="0" applyFill="1" applyBorder="1"/>
    <xf numFmtId="3" fontId="0" fillId="7" borderId="2" xfId="0" applyNumberFormat="1" applyFill="1" applyBorder="1"/>
    <xf numFmtId="2" fontId="0" fillId="7" borderId="2" xfId="0" applyNumberFormat="1" applyFill="1" applyBorder="1"/>
    <xf numFmtId="0" fontId="0" fillId="7" borderId="3" xfId="0" applyFill="1" applyBorder="1"/>
    <xf numFmtId="0" fontId="16" fillId="4" borderId="7" xfId="0" applyFont="1" applyFill="1" applyBorder="1"/>
    <xf numFmtId="0" fontId="0" fillId="4" borderId="8" xfId="0" applyFill="1" applyBorder="1"/>
    <xf numFmtId="0" fontId="0" fillId="4" borderId="9" xfId="0" applyFill="1" applyBorder="1"/>
    <xf numFmtId="0" fontId="16" fillId="0" borderId="16" xfId="0" applyFont="1" applyBorder="1"/>
    <xf numFmtId="0" fontId="16" fillId="4" borderId="16" xfId="0" applyFont="1" applyFill="1" applyBorder="1"/>
    <xf numFmtId="0" fontId="0" fillId="4" borderId="17" xfId="0" applyFill="1" applyBorder="1"/>
    <xf numFmtId="0" fontId="0" fillId="4" borderId="18" xfId="0" applyFill="1" applyBorder="1"/>
    <xf numFmtId="0" fontId="0" fillId="14" borderId="0" xfId="0" applyFill="1" applyBorder="1"/>
    <xf numFmtId="0" fontId="0" fillId="0" borderId="0" xfId="0" applyFill="1" applyBorder="1"/>
  </cellXfs>
  <cellStyles count="2">
    <cellStyle name="Normal" xfId="0" builtinId="0"/>
    <cellStyle name="Normal 2" xfId="1" xr:uid="{7266733A-FD8D-7542-8C77-5BFCA69E5A19}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70C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Table Style 1" pivot="0" count="1" xr9:uid="{397FCD62-0F75-DF41-8A29-85E0CED29731}">
      <tableStyleElement type="firstRowStripe" size="2"/>
    </tableStyle>
  </tableStyles>
  <colors>
    <mruColors>
      <color rgb="FFBAE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218281</xdr:colOff>
      <xdr:row>77</xdr:row>
      <xdr:rowOff>12701</xdr:rowOff>
    </xdr:from>
    <xdr:to>
      <xdr:col>15</xdr:col>
      <xdr:colOff>496093</xdr:colOff>
      <xdr:row>78</xdr:row>
      <xdr:rowOff>59531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407291C-C49B-2E83-F968-E571021BD2CA}"/>
            </a:ext>
          </a:extLst>
        </xdr:cNvPr>
        <xdr:cNvSpPr/>
      </xdr:nvSpPr>
      <xdr:spPr>
        <a:xfrm>
          <a:off x="7719219" y="14240670"/>
          <a:ext cx="277812" cy="26511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342900</xdr:colOff>
      <xdr:row>44</xdr:row>
      <xdr:rowOff>114300</xdr:rowOff>
    </xdr:from>
    <xdr:to>
      <xdr:col>15</xdr:col>
      <xdr:colOff>357187</xdr:colOff>
      <xdr:row>77</xdr:row>
      <xdr:rowOff>12701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5C2BC89-5264-7470-FC31-3C2C5E20935A}"/>
            </a:ext>
          </a:extLst>
        </xdr:cNvPr>
        <xdr:cNvCxnSpPr>
          <a:stCxn id="2" idx="0"/>
        </xdr:cNvCxnSpPr>
      </xdr:nvCxnSpPr>
      <xdr:spPr>
        <a:xfrm flipH="1" flipV="1">
          <a:off x="7669823" y="9004300"/>
          <a:ext cx="14287" cy="706250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293077</xdr:colOff>
      <xdr:row>78</xdr:row>
      <xdr:rowOff>59531</xdr:rowOff>
    </xdr:from>
    <xdr:to>
      <xdr:col>15</xdr:col>
      <xdr:colOff>357187</xdr:colOff>
      <xdr:row>108</xdr:row>
      <xdr:rowOff>130257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9EB35CF-432B-6D42-9742-510249A42DCA}"/>
            </a:ext>
          </a:extLst>
        </xdr:cNvPr>
        <xdr:cNvCxnSpPr>
          <a:endCxn id="2" idx="2"/>
        </xdr:cNvCxnSpPr>
      </xdr:nvCxnSpPr>
      <xdr:spPr>
        <a:xfrm flipV="1">
          <a:off x="7620000" y="16341582"/>
          <a:ext cx="64110" cy="645329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330200</xdr:colOff>
      <xdr:row>44</xdr:row>
      <xdr:rowOff>114300</xdr:rowOff>
    </xdr:from>
    <xdr:to>
      <xdr:col>16</xdr:col>
      <xdr:colOff>0</xdr:colOff>
      <xdr:row>44</xdr:row>
      <xdr:rowOff>114300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D79CBAB-A23F-CC32-A208-A998BF4C97FE}"/>
            </a:ext>
          </a:extLst>
        </xdr:cNvPr>
        <xdr:cNvCxnSpPr/>
      </xdr:nvCxnSpPr>
      <xdr:spPr>
        <a:xfrm>
          <a:off x="1981200" y="9893300"/>
          <a:ext cx="4953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304800</xdr:colOff>
      <xdr:row>108</xdr:row>
      <xdr:rowOff>114299</xdr:rowOff>
    </xdr:from>
    <xdr:to>
      <xdr:col>16</xdr:col>
      <xdr:colOff>32544</xdr:colOff>
      <xdr:row>108</xdr:row>
      <xdr:rowOff>135467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05579ED-9B22-8F43-860E-8C975F83B8E7}"/>
            </a:ext>
          </a:extLst>
        </xdr:cNvPr>
        <xdr:cNvCxnSpPr/>
      </xdr:nvCxnSpPr>
      <xdr:spPr>
        <a:xfrm flipV="1">
          <a:off x="7772400" y="22618699"/>
          <a:ext cx="557477" cy="2116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44</xdr:row>
      <xdr:rowOff>99218</xdr:rowOff>
    </xdr:from>
    <xdr:to>
      <xdr:col>22</xdr:col>
      <xdr:colOff>319047</xdr:colOff>
      <xdr:row>44</xdr:row>
      <xdr:rowOff>105162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9467BA0-AFEC-0542-AB48-7CFE752EF43F}"/>
            </a:ext>
          </a:extLst>
        </xdr:cNvPr>
        <xdr:cNvCxnSpPr>
          <a:cxnSpLocks/>
        </xdr:cNvCxnSpPr>
      </xdr:nvCxnSpPr>
      <xdr:spPr>
        <a:xfrm>
          <a:off x="9167813" y="8393906"/>
          <a:ext cx="4486234" cy="594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471447</xdr:colOff>
      <xdr:row>26</xdr:row>
      <xdr:rowOff>114301</xdr:rowOff>
    </xdr:from>
    <xdr:to>
      <xdr:col>22</xdr:col>
      <xdr:colOff>484148</xdr:colOff>
      <xdr:row>45</xdr:row>
      <xdr:rowOff>44508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8C980A09-C029-474F-8E65-176AA951BF9C}"/>
            </a:ext>
          </a:extLst>
        </xdr:cNvPr>
        <xdr:cNvCxnSpPr>
          <a:cxnSpLocks/>
        </xdr:cNvCxnSpPr>
      </xdr:nvCxnSpPr>
      <xdr:spPr>
        <a:xfrm flipV="1">
          <a:off x="13703075" y="5962208"/>
          <a:ext cx="12701" cy="38583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471448</xdr:colOff>
      <xdr:row>44</xdr:row>
      <xdr:rowOff>167578</xdr:rowOff>
    </xdr:from>
    <xdr:to>
      <xdr:col>22</xdr:col>
      <xdr:colOff>488462</xdr:colOff>
      <xdr:row>73</xdr:row>
      <xdr:rowOff>130256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C2F281C8-1DBC-B941-8816-81A38B31218D}"/>
            </a:ext>
          </a:extLst>
        </xdr:cNvPr>
        <xdr:cNvCxnSpPr/>
      </xdr:nvCxnSpPr>
      <xdr:spPr>
        <a:xfrm flipH="1" flipV="1">
          <a:off x="13497089" y="9057578"/>
          <a:ext cx="17014" cy="62475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495610</xdr:colOff>
      <xdr:row>26</xdr:row>
      <xdr:rowOff>114300</xdr:rowOff>
    </xdr:from>
    <xdr:to>
      <xdr:col>23</xdr:col>
      <xdr:colOff>12700</xdr:colOff>
      <xdr:row>26</xdr:row>
      <xdr:rowOff>123902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3D4F99D8-A7EA-C74D-BCC3-987867AD55B1}"/>
            </a:ext>
          </a:extLst>
        </xdr:cNvPr>
        <xdr:cNvCxnSpPr/>
      </xdr:nvCxnSpPr>
      <xdr:spPr>
        <a:xfrm flipV="1">
          <a:off x="3840976" y="6402349"/>
          <a:ext cx="353431" cy="960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368300</xdr:colOff>
      <xdr:row>25</xdr:row>
      <xdr:rowOff>190500</xdr:rowOff>
    </xdr:from>
    <xdr:to>
      <xdr:col>28</xdr:col>
      <xdr:colOff>609600</xdr:colOff>
      <xdr:row>26</xdr:row>
      <xdr:rowOff>190500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0B08334-9EFE-6E4E-8761-3E8DBAEDD98D}"/>
            </a:ext>
          </a:extLst>
        </xdr:cNvPr>
        <xdr:cNvSpPr/>
      </xdr:nvSpPr>
      <xdr:spPr>
        <a:xfrm>
          <a:off x="5321300" y="5905500"/>
          <a:ext cx="241300" cy="203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23</xdr:col>
      <xdr:colOff>812800</xdr:colOff>
      <xdr:row>26</xdr:row>
      <xdr:rowOff>101600</xdr:rowOff>
    </xdr:from>
    <xdr:to>
      <xdr:col>28</xdr:col>
      <xdr:colOff>393700</xdr:colOff>
      <xdr:row>26</xdr:row>
      <xdr:rowOff>101600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D125F8BD-6059-9344-A90E-F855DD904E72}"/>
            </a:ext>
          </a:extLst>
        </xdr:cNvPr>
        <xdr:cNvCxnSpPr/>
      </xdr:nvCxnSpPr>
      <xdr:spPr>
        <a:xfrm>
          <a:off x="4940300" y="6019800"/>
          <a:ext cx="4064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495300</xdr:colOff>
      <xdr:row>17</xdr:row>
      <xdr:rowOff>133685</xdr:rowOff>
    </xdr:from>
    <xdr:to>
      <xdr:col>28</xdr:col>
      <xdr:colOff>501316</xdr:colOff>
      <xdr:row>26</xdr:row>
      <xdr:rowOff>25400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C7D6CA50-6688-C94E-AFFA-10D2F41CFA33}"/>
            </a:ext>
          </a:extLst>
        </xdr:cNvPr>
        <xdr:cNvCxnSpPr/>
      </xdr:nvCxnSpPr>
      <xdr:spPr>
        <a:xfrm flipV="1">
          <a:off x="18876879" y="3609474"/>
          <a:ext cx="6016" cy="169645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482600</xdr:colOff>
      <xdr:row>26</xdr:row>
      <xdr:rowOff>177800</xdr:rowOff>
    </xdr:from>
    <xdr:to>
      <xdr:col>28</xdr:col>
      <xdr:colOff>514865</xdr:colOff>
      <xdr:row>43</xdr:row>
      <xdr:rowOff>137298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9993DED6-18C8-C444-94CF-C1525BDDD498}"/>
            </a:ext>
          </a:extLst>
        </xdr:cNvPr>
        <xdr:cNvCxnSpPr/>
      </xdr:nvCxnSpPr>
      <xdr:spPr>
        <a:xfrm flipH="1" flipV="1">
          <a:off x="18605843" y="6012935"/>
          <a:ext cx="32265" cy="346057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482600</xdr:colOff>
      <xdr:row>43</xdr:row>
      <xdr:rowOff>119063</xdr:rowOff>
    </xdr:from>
    <xdr:to>
      <xdr:col>29</xdr:col>
      <xdr:colOff>0</xdr:colOff>
      <xdr:row>43</xdr:row>
      <xdr:rowOff>127000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F67767E9-668C-2B44-8EAC-DB6B0710727D}"/>
            </a:ext>
          </a:extLst>
        </xdr:cNvPr>
        <xdr:cNvCxnSpPr/>
      </xdr:nvCxnSpPr>
      <xdr:spPr>
        <a:xfrm flipV="1">
          <a:off x="7983538" y="7242969"/>
          <a:ext cx="350837" cy="793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381000</xdr:colOff>
      <xdr:row>15</xdr:row>
      <xdr:rowOff>105833</xdr:rowOff>
    </xdr:from>
    <xdr:to>
      <xdr:col>34</xdr:col>
      <xdr:colOff>381000</xdr:colOff>
      <xdr:row>19</xdr:row>
      <xdr:rowOff>118533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E16C82B-8BFB-5B4F-881F-6C1C2D16ECF0}"/>
            </a:ext>
          </a:extLst>
        </xdr:cNvPr>
        <xdr:cNvCxnSpPr/>
      </xdr:nvCxnSpPr>
      <xdr:spPr>
        <a:xfrm>
          <a:off x="23613533" y="3695700"/>
          <a:ext cx="0" cy="89323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33421</xdr:colOff>
      <xdr:row>17</xdr:row>
      <xdr:rowOff>100263</xdr:rowOff>
    </xdr:from>
    <xdr:to>
      <xdr:col>34</xdr:col>
      <xdr:colOff>355600</xdr:colOff>
      <xdr:row>17</xdr:row>
      <xdr:rowOff>118534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C6A9B84B-C27E-4646-A802-AF8E9077C606}"/>
            </a:ext>
          </a:extLst>
        </xdr:cNvPr>
        <xdr:cNvCxnSpPr/>
      </xdr:nvCxnSpPr>
      <xdr:spPr>
        <a:xfrm>
          <a:off x="19947021" y="4130396"/>
          <a:ext cx="3641112" cy="1827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372534</xdr:colOff>
      <xdr:row>19</xdr:row>
      <xdr:rowOff>101600</xdr:rowOff>
    </xdr:from>
    <xdr:to>
      <xdr:col>35</xdr:col>
      <xdr:colOff>12700</xdr:colOff>
      <xdr:row>19</xdr:row>
      <xdr:rowOff>101600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657DB3F-7E4E-6F4A-ADD1-08FA351AC3EB}"/>
            </a:ext>
          </a:extLst>
        </xdr:cNvPr>
        <xdr:cNvCxnSpPr/>
      </xdr:nvCxnSpPr>
      <xdr:spPr>
        <a:xfrm>
          <a:off x="23605067" y="4572000"/>
          <a:ext cx="4699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372534</xdr:colOff>
      <xdr:row>15</xdr:row>
      <xdr:rowOff>84666</xdr:rowOff>
    </xdr:from>
    <xdr:to>
      <xdr:col>35</xdr:col>
      <xdr:colOff>0</xdr:colOff>
      <xdr:row>15</xdr:row>
      <xdr:rowOff>88900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8B7D81EF-E0FD-CF47-9CD9-0A7C5E5ADFEE}"/>
            </a:ext>
          </a:extLst>
        </xdr:cNvPr>
        <xdr:cNvCxnSpPr/>
      </xdr:nvCxnSpPr>
      <xdr:spPr>
        <a:xfrm>
          <a:off x="23605067" y="3674533"/>
          <a:ext cx="457200" cy="423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254000</xdr:colOff>
      <xdr:row>16</xdr:row>
      <xdr:rowOff>194733</xdr:rowOff>
    </xdr:from>
    <xdr:to>
      <xdr:col>34</xdr:col>
      <xdr:colOff>508000</xdr:colOff>
      <xdr:row>18</xdr:row>
      <xdr:rowOff>29633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B58F8870-D6F0-484C-B9D6-EF4019F7D957}"/>
            </a:ext>
          </a:extLst>
        </xdr:cNvPr>
        <xdr:cNvSpPr/>
      </xdr:nvSpPr>
      <xdr:spPr>
        <a:xfrm>
          <a:off x="23486533" y="4004733"/>
          <a:ext cx="254000" cy="275167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36</xdr:col>
      <xdr:colOff>18406</xdr:colOff>
      <xdr:row>15</xdr:row>
      <xdr:rowOff>110435</xdr:rowOff>
    </xdr:from>
    <xdr:to>
      <xdr:col>42</xdr:col>
      <xdr:colOff>393700</xdr:colOff>
      <xdr:row>15</xdr:row>
      <xdr:rowOff>114300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B4B4A646-1120-6145-9A92-4EC5D8677365}"/>
            </a:ext>
          </a:extLst>
        </xdr:cNvPr>
        <xdr:cNvCxnSpPr/>
      </xdr:nvCxnSpPr>
      <xdr:spPr>
        <a:xfrm>
          <a:off x="25694493" y="3717971"/>
          <a:ext cx="3688337" cy="386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393700</xdr:colOff>
      <xdr:row>13</xdr:row>
      <xdr:rowOff>127000</xdr:rowOff>
    </xdr:from>
    <xdr:to>
      <xdr:col>42</xdr:col>
      <xdr:colOff>393700</xdr:colOff>
      <xdr:row>17</xdr:row>
      <xdr:rowOff>127000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C2C9209B-5544-7F4F-8D7A-ECC4CF491F99}"/>
            </a:ext>
          </a:extLst>
        </xdr:cNvPr>
        <xdr:cNvCxnSpPr/>
      </xdr:nvCxnSpPr>
      <xdr:spPr>
        <a:xfrm>
          <a:off x="8648700" y="4216400"/>
          <a:ext cx="0" cy="812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393700</xdr:colOff>
      <xdr:row>17</xdr:row>
      <xdr:rowOff>127000</xdr:rowOff>
    </xdr:from>
    <xdr:to>
      <xdr:col>43</xdr:col>
      <xdr:colOff>12700</xdr:colOff>
      <xdr:row>17</xdr:row>
      <xdr:rowOff>127000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A252D538-2E25-1C49-A3AC-DB516D3473E7}"/>
            </a:ext>
          </a:extLst>
        </xdr:cNvPr>
        <xdr:cNvCxnSpPr/>
      </xdr:nvCxnSpPr>
      <xdr:spPr>
        <a:xfrm>
          <a:off x="8648700" y="5029200"/>
          <a:ext cx="4445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393700</xdr:colOff>
      <xdr:row>13</xdr:row>
      <xdr:rowOff>127000</xdr:rowOff>
    </xdr:from>
    <xdr:to>
      <xdr:col>43</xdr:col>
      <xdr:colOff>12700</xdr:colOff>
      <xdr:row>13</xdr:row>
      <xdr:rowOff>127000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CA22FE3C-C6EC-2F4F-A0C1-3B8859E0CE91}"/>
            </a:ext>
          </a:extLst>
        </xdr:cNvPr>
        <xdr:cNvCxnSpPr/>
      </xdr:nvCxnSpPr>
      <xdr:spPr>
        <a:xfrm>
          <a:off x="8648700" y="4216400"/>
          <a:ext cx="4445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279400</xdr:colOff>
      <xdr:row>15</xdr:row>
      <xdr:rowOff>0</xdr:rowOff>
    </xdr:from>
    <xdr:to>
      <xdr:col>42</xdr:col>
      <xdr:colOff>520700</xdr:colOff>
      <xdr:row>16</xdr:row>
      <xdr:rowOff>38100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99A6718D-3D70-EA49-B49F-8D1104F86F81}"/>
            </a:ext>
          </a:extLst>
        </xdr:cNvPr>
        <xdr:cNvSpPr/>
      </xdr:nvSpPr>
      <xdr:spPr>
        <a:xfrm flipV="1">
          <a:off x="8534400" y="4495800"/>
          <a:ext cx="241300" cy="241300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19844</xdr:colOff>
      <xdr:row>43</xdr:row>
      <xdr:rowOff>114300</xdr:rowOff>
    </xdr:from>
    <xdr:to>
      <xdr:col>34</xdr:col>
      <xdr:colOff>495300</xdr:colOff>
      <xdr:row>43</xdr:row>
      <xdr:rowOff>119062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D6AB227D-E877-424A-9FF9-88E85DF73E41}"/>
            </a:ext>
          </a:extLst>
        </xdr:cNvPr>
        <xdr:cNvCxnSpPr/>
      </xdr:nvCxnSpPr>
      <xdr:spPr>
        <a:xfrm flipV="1">
          <a:off x="20022344" y="6662738"/>
          <a:ext cx="3809206" cy="476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476250</xdr:colOff>
      <xdr:row>38</xdr:row>
      <xdr:rowOff>99219</xdr:rowOff>
    </xdr:from>
    <xdr:to>
      <xdr:col>34</xdr:col>
      <xdr:colOff>521025</xdr:colOff>
      <xdr:row>56</xdr:row>
      <xdr:rowOff>195385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61164B2A-326C-2547-A294-C80E123A2848}"/>
            </a:ext>
          </a:extLst>
        </xdr:cNvPr>
        <xdr:cNvCxnSpPr/>
      </xdr:nvCxnSpPr>
      <xdr:spPr>
        <a:xfrm>
          <a:off x="23271122" y="7621527"/>
          <a:ext cx="44775" cy="406898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381000</xdr:colOff>
      <xdr:row>42</xdr:row>
      <xdr:rowOff>177800</xdr:rowOff>
    </xdr:from>
    <xdr:to>
      <xdr:col>34</xdr:col>
      <xdr:colOff>622300</xdr:colOff>
      <xdr:row>44</xdr:row>
      <xdr:rowOff>12700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6F8096A0-FC61-D54C-9E39-32E17AAC1739}"/>
            </a:ext>
          </a:extLst>
        </xdr:cNvPr>
        <xdr:cNvSpPr/>
      </xdr:nvSpPr>
      <xdr:spPr>
        <a:xfrm flipV="1">
          <a:off x="8636000" y="6908800"/>
          <a:ext cx="241300" cy="241300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36</xdr:col>
      <xdr:colOff>36286</xdr:colOff>
      <xdr:row>38</xdr:row>
      <xdr:rowOff>114300</xdr:rowOff>
    </xdr:from>
    <xdr:to>
      <xdr:col>40</xdr:col>
      <xdr:colOff>431800</xdr:colOff>
      <xdr:row>38</xdr:row>
      <xdr:rowOff>145143</xdr:rowOff>
    </xdr:to>
    <xdr:cxnSp macro="">
      <xdr:nvCxnSpPr>
        <xdr:cNvPr id="206" name="Straight Connector 205">
          <a:extLst>
            <a:ext uri="{FF2B5EF4-FFF2-40B4-BE49-F238E27FC236}">
              <a16:creationId xmlns:a16="http://schemas.microsoft.com/office/drawing/2014/main" id="{17CCB3FA-301C-D94A-9D33-2BD0B4FA99C4}"/>
            </a:ext>
          </a:extLst>
        </xdr:cNvPr>
        <xdr:cNvCxnSpPr>
          <a:cxnSpLocks/>
        </xdr:cNvCxnSpPr>
      </xdr:nvCxnSpPr>
      <xdr:spPr>
        <a:xfrm flipV="1">
          <a:off x="25073429" y="8859157"/>
          <a:ext cx="3733800" cy="3084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292100</xdr:colOff>
      <xdr:row>37</xdr:row>
      <xdr:rowOff>190500</xdr:rowOff>
    </xdr:from>
    <xdr:to>
      <xdr:col>40</xdr:col>
      <xdr:colOff>533400</xdr:colOff>
      <xdr:row>39</xdr:row>
      <xdr:rowOff>25400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C42D55F-0A0D-6840-84B9-EDC519D18B3E}"/>
            </a:ext>
          </a:extLst>
        </xdr:cNvPr>
        <xdr:cNvSpPr/>
      </xdr:nvSpPr>
      <xdr:spPr>
        <a:xfrm flipV="1">
          <a:off x="10198100" y="6515100"/>
          <a:ext cx="241300" cy="241300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40</xdr:col>
      <xdr:colOff>411892</xdr:colOff>
      <xdr:row>29</xdr:row>
      <xdr:rowOff>102973</xdr:rowOff>
    </xdr:from>
    <xdr:to>
      <xdr:col>40</xdr:col>
      <xdr:colOff>412751</xdr:colOff>
      <xdr:row>37</xdr:row>
      <xdr:rowOff>190500</xdr:rowOff>
    </xdr:to>
    <xdr:cxnSp macro="">
      <xdr:nvCxnSpPr>
        <xdr:cNvPr id="13" name="Curved Connector 12">
          <a:extLst>
            <a:ext uri="{FF2B5EF4-FFF2-40B4-BE49-F238E27FC236}">
              <a16:creationId xmlns:a16="http://schemas.microsoft.com/office/drawing/2014/main" id="{B19434D8-51DF-BB91-3439-C04360927D1C}"/>
            </a:ext>
          </a:extLst>
        </xdr:cNvPr>
        <xdr:cNvCxnSpPr>
          <a:stCxn id="9" idx="4"/>
        </xdr:cNvCxnSpPr>
      </xdr:nvCxnSpPr>
      <xdr:spPr>
        <a:xfrm rot="16200000" flipV="1">
          <a:off x="24258288" y="7423064"/>
          <a:ext cx="1735095" cy="859"/>
        </a:xfrm>
        <a:prstGeom prst="curved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412750</xdr:colOff>
      <xdr:row>39</xdr:row>
      <xdr:rowOff>38100</xdr:rowOff>
    </xdr:from>
    <xdr:to>
      <xdr:col>40</xdr:col>
      <xdr:colOff>419100</xdr:colOff>
      <xdr:row>42</xdr:row>
      <xdr:rowOff>101600</xdr:rowOff>
    </xdr:to>
    <xdr:cxnSp macro="">
      <xdr:nvCxnSpPr>
        <xdr:cNvPr id="14" name="Curved Connector 13">
          <a:extLst>
            <a:ext uri="{FF2B5EF4-FFF2-40B4-BE49-F238E27FC236}">
              <a16:creationId xmlns:a16="http://schemas.microsoft.com/office/drawing/2014/main" id="{0A4837CA-146D-C640-B1A1-BC3D0C3F3961}"/>
            </a:ext>
          </a:extLst>
        </xdr:cNvPr>
        <xdr:cNvCxnSpPr/>
      </xdr:nvCxnSpPr>
      <xdr:spPr>
        <a:xfrm rot="16200000" flipV="1">
          <a:off x="9985375" y="7102475"/>
          <a:ext cx="673100" cy="6350"/>
        </a:xfrm>
        <a:prstGeom prst="curved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419100</xdr:colOff>
      <xdr:row>29</xdr:row>
      <xdr:rowOff>88900</xdr:rowOff>
    </xdr:from>
    <xdr:to>
      <xdr:col>41</xdr:col>
      <xdr:colOff>0</xdr:colOff>
      <xdr:row>29</xdr:row>
      <xdr:rowOff>88900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DEAD8B8E-3D1D-9D4F-A144-9671C3A4233C}"/>
            </a:ext>
          </a:extLst>
        </xdr:cNvPr>
        <xdr:cNvCxnSpPr>
          <a:cxnSpLocks/>
        </xdr:cNvCxnSpPr>
      </xdr:nvCxnSpPr>
      <xdr:spPr>
        <a:xfrm>
          <a:off x="10325100" y="580390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419100</xdr:colOff>
      <xdr:row>42</xdr:row>
      <xdr:rowOff>101600</xdr:rowOff>
    </xdr:from>
    <xdr:to>
      <xdr:col>41</xdr:col>
      <xdr:colOff>0</xdr:colOff>
      <xdr:row>42</xdr:row>
      <xdr:rowOff>101600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FEC92E2-E4C1-524B-90E7-822166ABB279}"/>
            </a:ext>
          </a:extLst>
        </xdr:cNvPr>
        <xdr:cNvCxnSpPr>
          <a:cxnSpLocks/>
        </xdr:cNvCxnSpPr>
      </xdr:nvCxnSpPr>
      <xdr:spPr>
        <a:xfrm>
          <a:off x="10325100" y="744220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25400</xdr:colOff>
      <xdr:row>29</xdr:row>
      <xdr:rowOff>101600</xdr:rowOff>
    </xdr:from>
    <xdr:to>
      <xdr:col>46</xdr:col>
      <xdr:colOff>393700</xdr:colOff>
      <xdr:row>29</xdr:row>
      <xdr:rowOff>127000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1DE9A165-BF2C-064C-A936-6845173B1675}"/>
            </a:ext>
          </a:extLst>
        </xdr:cNvPr>
        <xdr:cNvCxnSpPr>
          <a:cxnSpLocks/>
        </xdr:cNvCxnSpPr>
      </xdr:nvCxnSpPr>
      <xdr:spPr>
        <a:xfrm flipV="1">
          <a:off x="30200600" y="6832600"/>
          <a:ext cx="3721100" cy="25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393700</xdr:colOff>
      <xdr:row>27</xdr:row>
      <xdr:rowOff>88900</xdr:rowOff>
    </xdr:from>
    <xdr:to>
      <xdr:col>46</xdr:col>
      <xdr:colOff>411892</xdr:colOff>
      <xdr:row>34</xdr:row>
      <xdr:rowOff>102973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70D65044-3FBA-8245-848B-54DE880E3A9F}"/>
            </a:ext>
          </a:extLst>
        </xdr:cNvPr>
        <xdr:cNvCxnSpPr/>
      </xdr:nvCxnSpPr>
      <xdr:spPr>
        <a:xfrm>
          <a:off x="26754781" y="6129981"/>
          <a:ext cx="18192" cy="145569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393700</xdr:colOff>
      <xdr:row>27</xdr:row>
      <xdr:rowOff>88900</xdr:rowOff>
    </xdr:from>
    <xdr:to>
      <xdr:col>46</xdr:col>
      <xdr:colOff>800100</xdr:colOff>
      <xdr:row>27</xdr:row>
      <xdr:rowOff>88900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8C6829A3-F5BC-8B4B-B046-4C05E3F3D642}"/>
            </a:ext>
          </a:extLst>
        </xdr:cNvPr>
        <xdr:cNvCxnSpPr>
          <a:cxnSpLocks/>
        </xdr:cNvCxnSpPr>
      </xdr:nvCxnSpPr>
      <xdr:spPr>
        <a:xfrm>
          <a:off x="11950700" y="539750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393700</xdr:colOff>
      <xdr:row>34</xdr:row>
      <xdr:rowOff>88900</xdr:rowOff>
    </xdr:from>
    <xdr:to>
      <xdr:col>46</xdr:col>
      <xdr:colOff>800100</xdr:colOff>
      <xdr:row>34</xdr:row>
      <xdr:rowOff>88900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D31D4157-C8A9-834B-9608-4BC8AEF0A3AE}"/>
            </a:ext>
          </a:extLst>
        </xdr:cNvPr>
        <xdr:cNvCxnSpPr>
          <a:cxnSpLocks/>
        </xdr:cNvCxnSpPr>
      </xdr:nvCxnSpPr>
      <xdr:spPr>
        <a:xfrm>
          <a:off x="11950700" y="621030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266700</xdr:colOff>
      <xdr:row>28</xdr:row>
      <xdr:rowOff>165100</xdr:rowOff>
    </xdr:from>
    <xdr:to>
      <xdr:col>46</xdr:col>
      <xdr:colOff>508000</xdr:colOff>
      <xdr:row>30</xdr:row>
      <xdr:rowOff>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CC6B4FB6-3736-0C40-A9AE-53CB5D6233DA}"/>
            </a:ext>
          </a:extLst>
        </xdr:cNvPr>
        <xdr:cNvSpPr/>
      </xdr:nvSpPr>
      <xdr:spPr>
        <a:xfrm flipV="1">
          <a:off x="11823700" y="5676900"/>
          <a:ext cx="241300" cy="241300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48</xdr:col>
      <xdr:colOff>19539</xdr:colOff>
      <xdr:row>27</xdr:row>
      <xdr:rowOff>114300</xdr:rowOff>
    </xdr:from>
    <xdr:to>
      <xdr:col>50</xdr:col>
      <xdr:colOff>406400</xdr:colOff>
      <xdr:row>27</xdr:row>
      <xdr:rowOff>117231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3254E83A-4C0A-1B40-886E-A527BF05E395}"/>
            </a:ext>
          </a:extLst>
        </xdr:cNvPr>
        <xdr:cNvCxnSpPr>
          <a:cxnSpLocks/>
        </xdr:cNvCxnSpPr>
      </xdr:nvCxnSpPr>
      <xdr:spPr>
        <a:xfrm flipV="1">
          <a:off x="27920462" y="6093069"/>
          <a:ext cx="2028092" cy="293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406400</xdr:colOff>
      <xdr:row>25</xdr:row>
      <xdr:rowOff>101600</xdr:rowOff>
    </xdr:from>
    <xdr:to>
      <xdr:col>50</xdr:col>
      <xdr:colOff>406400</xdr:colOff>
      <xdr:row>29</xdr:row>
      <xdr:rowOff>101600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CE5FA4E1-A7A5-4149-B66F-4DD366263891}"/>
            </a:ext>
          </a:extLst>
        </xdr:cNvPr>
        <xdr:cNvCxnSpPr/>
      </xdr:nvCxnSpPr>
      <xdr:spPr>
        <a:xfrm>
          <a:off x="13614400" y="5003800"/>
          <a:ext cx="0" cy="812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406400</xdr:colOff>
      <xdr:row>25</xdr:row>
      <xdr:rowOff>101600</xdr:rowOff>
    </xdr:from>
    <xdr:to>
      <xdr:col>50</xdr:col>
      <xdr:colOff>812800</xdr:colOff>
      <xdr:row>25</xdr:row>
      <xdr:rowOff>101600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782F80-8A42-C944-8E46-03A33EDD353C}"/>
            </a:ext>
          </a:extLst>
        </xdr:cNvPr>
        <xdr:cNvCxnSpPr>
          <a:cxnSpLocks/>
        </xdr:cNvCxnSpPr>
      </xdr:nvCxnSpPr>
      <xdr:spPr>
        <a:xfrm>
          <a:off x="13614400" y="500380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419100</xdr:colOff>
      <xdr:row>29</xdr:row>
      <xdr:rowOff>101600</xdr:rowOff>
    </xdr:from>
    <xdr:to>
      <xdr:col>51</xdr:col>
      <xdr:colOff>0</xdr:colOff>
      <xdr:row>29</xdr:row>
      <xdr:rowOff>101600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A9C6317-E959-7F44-A18E-444B94B67B92}"/>
            </a:ext>
          </a:extLst>
        </xdr:cNvPr>
        <xdr:cNvCxnSpPr>
          <a:cxnSpLocks/>
        </xdr:cNvCxnSpPr>
      </xdr:nvCxnSpPr>
      <xdr:spPr>
        <a:xfrm>
          <a:off x="13627100" y="581660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292100</xdr:colOff>
      <xdr:row>27</xdr:row>
      <xdr:rowOff>0</xdr:rowOff>
    </xdr:from>
    <xdr:to>
      <xdr:col>50</xdr:col>
      <xdr:colOff>533400</xdr:colOff>
      <xdr:row>28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CBAFD2E-B8E5-784A-8389-476F71DF263D}"/>
            </a:ext>
          </a:extLst>
        </xdr:cNvPr>
        <xdr:cNvSpPr/>
      </xdr:nvSpPr>
      <xdr:spPr>
        <a:xfrm>
          <a:off x="13500100" y="5308600"/>
          <a:ext cx="241300" cy="203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55</xdr:col>
      <xdr:colOff>406400</xdr:colOff>
      <xdr:row>27</xdr:row>
      <xdr:rowOff>101600</xdr:rowOff>
    </xdr:from>
    <xdr:to>
      <xdr:col>55</xdr:col>
      <xdr:colOff>406400</xdr:colOff>
      <xdr:row>31</xdr:row>
      <xdr:rowOff>101600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3DD27917-C191-724A-9A74-1091036299DC}"/>
            </a:ext>
          </a:extLst>
        </xdr:cNvPr>
        <xdr:cNvCxnSpPr/>
      </xdr:nvCxnSpPr>
      <xdr:spPr>
        <a:xfrm>
          <a:off x="15265400" y="5410200"/>
          <a:ext cx="0" cy="812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29</xdr:row>
      <xdr:rowOff>126510</xdr:rowOff>
    </xdr:from>
    <xdr:to>
      <xdr:col>55</xdr:col>
      <xdr:colOff>292100</xdr:colOff>
      <xdr:row>29</xdr:row>
      <xdr:rowOff>131379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2202F269-07B6-CE42-89CB-A0F8CED79580}"/>
            </a:ext>
          </a:extLst>
        </xdr:cNvPr>
        <xdr:cNvCxnSpPr>
          <a:cxnSpLocks/>
          <a:endCxn id="55" idx="2"/>
        </xdr:cNvCxnSpPr>
      </xdr:nvCxnSpPr>
      <xdr:spPr>
        <a:xfrm flipV="1">
          <a:off x="29542154" y="6535125"/>
          <a:ext cx="2753946" cy="486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406400</xdr:colOff>
      <xdr:row>27</xdr:row>
      <xdr:rowOff>101600</xdr:rowOff>
    </xdr:from>
    <xdr:to>
      <xdr:col>55</xdr:col>
      <xdr:colOff>812800</xdr:colOff>
      <xdr:row>27</xdr:row>
      <xdr:rowOff>101600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771A6F58-14AD-BC42-AA3F-A065B10488DA}"/>
            </a:ext>
          </a:extLst>
        </xdr:cNvPr>
        <xdr:cNvCxnSpPr>
          <a:cxnSpLocks/>
        </xdr:cNvCxnSpPr>
      </xdr:nvCxnSpPr>
      <xdr:spPr>
        <a:xfrm>
          <a:off x="15265400" y="541020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406400</xdr:colOff>
      <xdr:row>31</xdr:row>
      <xdr:rowOff>88900</xdr:rowOff>
    </xdr:from>
    <xdr:to>
      <xdr:col>55</xdr:col>
      <xdr:colOff>812800</xdr:colOff>
      <xdr:row>31</xdr:row>
      <xdr:rowOff>88900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9994D259-6600-2649-B7C3-376ACF6D9668}"/>
            </a:ext>
          </a:extLst>
        </xdr:cNvPr>
        <xdr:cNvCxnSpPr>
          <a:cxnSpLocks/>
        </xdr:cNvCxnSpPr>
      </xdr:nvCxnSpPr>
      <xdr:spPr>
        <a:xfrm>
          <a:off x="15265400" y="621030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292100</xdr:colOff>
      <xdr:row>29</xdr:row>
      <xdr:rowOff>-1</xdr:rowOff>
    </xdr:from>
    <xdr:to>
      <xdr:col>55</xdr:col>
      <xdr:colOff>533400</xdr:colOff>
      <xdr:row>30</xdr:row>
      <xdr:rowOff>38099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B925B470-4AE7-D045-95D9-26F9827165B3}"/>
            </a:ext>
          </a:extLst>
        </xdr:cNvPr>
        <xdr:cNvSpPr/>
      </xdr:nvSpPr>
      <xdr:spPr>
        <a:xfrm flipV="1">
          <a:off x="29948316" y="6452972"/>
          <a:ext cx="241300" cy="244046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63</xdr:col>
      <xdr:colOff>0</xdr:colOff>
      <xdr:row>27</xdr:row>
      <xdr:rowOff>114300</xdr:rowOff>
    </xdr:from>
    <xdr:to>
      <xdr:col>63</xdr:col>
      <xdr:colOff>368300</xdr:colOff>
      <xdr:row>27</xdr:row>
      <xdr:rowOff>114300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5C707CC-1C81-C44F-85EE-0D749C39E99D}"/>
            </a:ext>
          </a:extLst>
        </xdr:cNvPr>
        <xdr:cNvCxnSpPr>
          <a:cxnSpLocks/>
        </xdr:cNvCxnSpPr>
      </xdr:nvCxnSpPr>
      <xdr:spPr>
        <a:xfrm>
          <a:off x="16510000" y="5422900"/>
          <a:ext cx="3683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381000</xdr:colOff>
      <xdr:row>25</xdr:row>
      <xdr:rowOff>101600</xdr:rowOff>
    </xdr:from>
    <xdr:to>
      <xdr:col>63</xdr:col>
      <xdr:colOff>381000</xdr:colOff>
      <xdr:row>29</xdr:row>
      <xdr:rowOff>101600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3846995-4501-6144-A294-A9854A8C1EB9}"/>
            </a:ext>
          </a:extLst>
        </xdr:cNvPr>
        <xdr:cNvCxnSpPr/>
      </xdr:nvCxnSpPr>
      <xdr:spPr>
        <a:xfrm>
          <a:off x="16891000" y="5003800"/>
          <a:ext cx="0" cy="812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381000</xdr:colOff>
      <xdr:row>25</xdr:row>
      <xdr:rowOff>101600</xdr:rowOff>
    </xdr:from>
    <xdr:to>
      <xdr:col>64</xdr:col>
      <xdr:colOff>0</xdr:colOff>
      <xdr:row>25</xdr:row>
      <xdr:rowOff>101600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7847147-5DAE-5342-8BE2-BAB13F880613}"/>
            </a:ext>
          </a:extLst>
        </xdr:cNvPr>
        <xdr:cNvCxnSpPr>
          <a:cxnSpLocks/>
        </xdr:cNvCxnSpPr>
      </xdr:nvCxnSpPr>
      <xdr:spPr>
        <a:xfrm>
          <a:off x="16891000" y="5003800"/>
          <a:ext cx="4445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368300</xdr:colOff>
      <xdr:row>29</xdr:row>
      <xdr:rowOff>114300</xdr:rowOff>
    </xdr:from>
    <xdr:to>
      <xdr:col>63</xdr:col>
      <xdr:colOff>812800</xdr:colOff>
      <xdr:row>29</xdr:row>
      <xdr:rowOff>114300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7C44D83E-F58B-3747-AE69-1F5379124911}"/>
            </a:ext>
          </a:extLst>
        </xdr:cNvPr>
        <xdr:cNvCxnSpPr>
          <a:cxnSpLocks/>
        </xdr:cNvCxnSpPr>
      </xdr:nvCxnSpPr>
      <xdr:spPr>
        <a:xfrm>
          <a:off x="16878300" y="5829300"/>
          <a:ext cx="4445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266700</xdr:colOff>
      <xdr:row>27</xdr:row>
      <xdr:rowOff>-1</xdr:rowOff>
    </xdr:from>
    <xdr:to>
      <xdr:col>63</xdr:col>
      <xdr:colOff>508000</xdr:colOff>
      <xdr:row>28</xdr:row>
      <xdr:rowOff>38099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E79E8FDF-0842-4549-863C-D3F2EC1BA761}"/>
            </a:ext>
          </a:extLst>
        </xdr:cNvPr>
        <xdr:cNvSpPr/>
      </xdr:nvSpPr>
      <xdr:spPr>
        <a:xfrm flipV="1">
          <a:off x="24436388" y="4167187"/>
          <a:ext cx="241300" cy="256381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22</xdr:col>
      <xdr:colOff>476250</xdr:colOff>
      <xdr:row>73</xdr:row>
      <xdr:rowOff>119063</xdr:rowOff>
    </xdr:from>
    <xdr:to>
      <xdr:col>23</xdr:col>
      <xdr:colOff>12700</xdr:colOff>
      <xdr:row>73</xdr:row>
      <xdr:rowOff>121444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7511907B-80DD-1D44-9438-1474FEB599B5}"/>
            </a:ext>
          </a:extLst>
        </xdr:cNvPr>
        <xdr:cNvCxnSpPr/>
      </xdr:nvCxnSpPr>
      <xdr:spPr>
        <a:xfrm>
          <a:off x="3810000" y="11469688"/>
          <a:ext cx="369888" cy="238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19844</xdr:colOff>
      <xdr:row>73</xdr:row>
      <xdr:rowOff>127000</xdr:rowOff>
    </xdr:from>
    <xdr:to>
      <xdr:col>28</xdr:col>
      <xdr:colOff>406400</xdr:colOff>
      <xdr:row>73</xdr:row>
      <xdr:rowOff>138907</xdr:rowOff>
    </xdr:to>
    <xdr:cxnSp macro="">
      <xdr:nvCxnSpPr>
        <xdr:cNvPr id="187" name="Straight Connector 186">
          <a:extLst>
            <a:ext uri="{FF2B5EF4-FFF2-40B4-BE49-F238E27FC236}">
              <a16:creationId xmlns:a16="http://schemas.microsoft.com/office/drawing/2014/main" id="{46DA3C9A-1533-F74F-AD45-52CEDE1EC1F6}"/>
            </a:ext>
          </a:extLst>
        </xdr:cNvPr>
        <xdr:cNvCxnSpPr/>
      </xdr:nvCxnSpPr>
      <xdr:spPr>
        <a:xfrm flipV="1">
          <a:off x="15021719" y="11616531"/>
          <a:ext cx="3720306" cy="1190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390770</xdr:colOff>
      <xdr:row>69</xdr:row>
      <xdr:rowOff>101600</xdr:rowOff>
    </xdr:from>
    <xdr:to>
      <xdr:col>28</xdr:col>
      <xdr:colOff>406400</xdr:colOff>
      <xdr:row>80</xdr:row>
      <xdr:rowOff>130256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CBF8E290-5CB2-3C4F-9EF7-8D80F4FF5C23}"/>
            </a:ext>
          </a:extLst>
        </xdr:cNvPr>
        <xdr:cNvCxnSpPr/>
      </xdr:nvCxnSpPr>
      <xdr:spPr>
        <a:xfrm flipV="1">
          <a:off x="18301026" y="14397241"/>
          <a:ext cx="15630" cy="247096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279400</xdr:colOff>
      <xdr:row>73</xdr:row>
      <xdr:rowOff>0</xdr:rowOff>
    </xdr:from>
    <xdr:to>
      <xdr:col>28</xdr:col>
      <xdr:colOff>520700</xdr:colOff>
      <xdr:row>74</xdr:row>
      <xdr:rowOff>0</xdr:rowOff>
    </xdr:to>
    <xdr:sp macro="" textlink="">
      <xdr:nvSpPr>
        <xdr:cNvPr id="207" name="Rectangle 206">
          <a:extLst>
            <a:ext uri="{FF2B5EF4-FFF2-40B4-BE49-F238E27FC236}">
              <a16:creationId xmlns:a16="http://schemas.microsoft.com/office/drawing/2014/main" id="{FAC3C5DD-9FAE-5241-8878-29A47778429A}"/>
            </a:ext>
          </a:extLst>
        </xdr:cNvPr>
        <xdr:cNvSpPr/>
      </xdr:nvSpPr>
      <xdr:spPr>
        <a:xfrm>
          <a:off x="14497205" y="14527561"/>
          <a:ext cx="241300" cy="2168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28</xdr:col>
      <xdr:colOff>406400</xdr:colOff>
      <xdr:row>69</xdr:row>
      <xdr:rowOff>101600</xdr:rowOff>
    </xdr:from>
    <xdr:to>
      <xdr:col>28</xdr:col>
      <xdr:colOff>812800</xdr:colOff>
      <xdr:row>69</xdr:row>
      <xdr:rowOff>101600</xdr:rowOff>
    </xdr:to>
    <xdr:cxnSp macro="">
      <xdr:nvCxnSpPr>
        <xdr:cNvPr id="208" name="Straight Connector 207">
          <a:extLst>
            <a:ext uri="{FF2B5EF4-FFF2-40B4-BE49-F238E27FC236}">
              <a16:creationId xmlns:a16="http://schemas.microsoft.com/office/drawing/2014/main" id="{2705865D-048D-7341-9565-C164B09B279B}"/>
            </a:ext>
          </a:extLst>
        </xdr:cNvPr>
        <xdr:cNvCxnSpPr>
          <a:cxnSpLocks/>
        </xdr:cNvCxnSpPr>
      </xdr:nvCxnSpPr>
      <xdr:spPr>
        <a:xfrm>
          <a:off x="14624205" y="13761844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406400</xdr:colOff>
      <xdr:row>80</xdr:row>
      <xdr:rowOff>101600</xdr:rowOff>
    </xdr:from>
    <xdr:to>
      <xdr:col>28</xdr:col>
      <xdr:colOff>812800</xdr:colOff>
      <xdr:row>80</xdr:row>
      <xdr:rowOff>101600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5EE3D1D9-FC7D-6D46-A723-C6BEB7D819FA}"/>
            </a:ext>
          </a:extLst>
        </xdr:cNvPr>
        <xdr:cNvCxnSpPr>
          <a:cxnSpLocks/>
        </xdr:cNvCxnSpPr>
      </xdr:nvCxnSpPr>
      <xdr:spPr>
        <a:xfrm>
          <a:off x="14624205" y="15496478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19844</xdr:colOff>
      <xdr:row>69</xdr:row>
      <xdr:rowOff>114300</xdr:rowOff>
    </xdr:from>
    <xdr:to>
      <xdr:col>34</xdr:col>
      <xdr:colOff>406400</xdr:colOff>
      <xdr:row>69</xdr:row>
      <xdr:rowOff>119063</xdr:rowOff>
    </xdr:to>
    <xdr:cxnSp macro="">
      <xdr:nvCxnSpPr>
        <xdr:cNvPr id="210" name="Straight Connector 209">
          <a:extLst>
            <a:ext uri="{FF2B5EF4-FFF2-40B4-BE49-F238E27FC236}">
              <a16:creationId xmlns:a16="http://schemas.microsoft.com/office/drawing/2014/main" id="{802FA7FA-E0F8-B442-AE58-0CF84A813C77}"/>
            </a:ext>
          </a:extLst>
        </xdr:cNvPr>
        <xdr:cNvCxnSpPr>
          <a:cxnSpLocks/>
        </xdr:cNvCxnSpPr>
      </xdr:nvCxnSpPr>
      <xdr:spPr>
        <a:xfrm flipV="1">
          <a:off x="20022344" y="10730706"/>
          <a:ext cx="3720306" cy="476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406400</xdr:colOff>
      <xdr:row>66</xdr:row>
      <xdr:rowOff>114300</xdr:rowOff>
    </xdr:from>
    <xdr:to>
      <xdr:col>34</xdr:col>
      <xdr:colOff>406400</xdr:colOff>
      <xdr:row>72</xdr:row>
      <xdr:rowOff>114300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FD708FE8-EC54-D54F-8142-BBAFC300767D}"/>
            </a:ext>
          </a:extLst>
        </xdr:cNvPr>
        <xdr:cNvCxnSpPr/>
      </xdr:nvCxnSpPr>
      <xdr:spPr>
        <a:xfrm flipV="1">
          <a:off x="16296888" y="13124056"/>
          <a:ext cx="0" cy="130097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406400</xdr:colOff>
      <xdr:row>66</xdr:row>
      <xdr:rowOff>127000</xdr:rowOff>
    </xdr:from>
    <xdr:to>
      <xdr:col>34</xdr:col>
      <xdr:colOff>812800</xdr:colOff>
      <xdr:row>66</xdr:row>
      <xdr:rowOff>127000</xdr:rowOff>
    </xdr:to>
    <xdr:cxnSp macro="">
      <xdr:nvCxnSpPr>
        <xdr:cNvPr id="213" name="Straight Connector 212">
          <a:extLst>
            <a:ext uri="{FF2B5EF4-FFF2-40B4-BE49-F238E27FC236}">
              <a16:creationId xmlns:a16="http://schemas.microsoft.com/office/drawing/2014/main" id="{604779C5-D131-4A46-A1D2-7FDD85889CA8}"/>
            </a:ext>
          </a:extLst>
        </xdr:cNvPr>
        <xdr:cNvCxnSpPr>
          <a:cxnSpLocks/>
        </xdr:cNvCxnSpPr>
      </xdr:nvCxnSpPr>
      <xdr:spPr>
        <a:xfrm>
          <a:off x="16296888" y="13136756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406400</xdr:colOff>
      <xdr:row>72</xdr:row>
      <xdr:rowOff>114300</xdr:rowOff>
    </xdr:from>
    <xdr:to>
      <xdr:col>34</xdr:col>
      <xdr:colOff>812800</xdr:colOff>
      <xdr:row>72</xdr:row>
      <xdr:rowOff>114300</xdr:rowOff>
    </xdr:to>
    <xdr:cxnSp macro="">
      <xdr:nvCxnSpPr>
        <xdr:cNvPr id="214" name="Straight Connector 213">
          <a:extLst>
            <a:ext uri="{FF2B5EF4-FFF2-40B4-BE49-F238E27FC236}">
              <a16:creationId xmlns:a16="http://schemas.microsoft.com/office/drawing/2014/main" id="{6C614F93-E7F4-7149-A5B5-63532A402B2F}"/>
            </a:ext>
          </a:extLst>
        </xdr:cNvPr>
        <xdr:cNvCxnSpPr>
          <a:cxnSpLocks/>
        </xdr:cNvCxnSpPr>
      </xdr:nvCxnSpPr>
      <xdr:spPr>
        <a:xfrm>
          <a:off x="16296888" y="14425032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292100</xdr:colOff>
      <xdr:row>69</xdr:row>
      <xdr:rowOff>0</xdr:rowOff>
    </xdr:from>
    <xdr:to>
      <xdr:col>34</xdr:col>
      <xdr:colOff>533400</xdr:colOff>
      <xdr:row>70</xdr:row>
      <xdr:rowOff>38100</xdr:rowOff>
    </xdr:to>
    <xdr:sp macro="" textlink="">
      <xdr:nvSpPr>
        <xdr:cNvPr id="215" name="Oval 214">
          <a:extLst>
            <a:ext uri="{FF2B5EF4-FFF2-40B4-BE49-F238E27FC236}">
              <a16:creationId xmlns:a16="http://schemas.microsoft.com/office/drawing/2014/main" id="{AFF483C7-77B5-A344-9596-5BC0E8843D64}"/>
            </a:ext>
          </a:extLst>
        </xdr:cNvPr>
        <xdr:cNvSpPr/>
      </xdr:nvSpPr>
      <xdr:spPr>
        <a:xfrm flipV="1">
          <a:off x="16182588" y="13660244"/>
          <a:ext cx="241300" cy="254929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36</xdr:col>
      <xdr:colOff>20484</xdr:colOff>
      <xdr:row>66</xdr:row>
      <xdr:rowOff>114300</xdr:rowOff>
    </xdr:from>
    <xdr:to>
      <xdr:col>40</xdr:col>
      <xdr:colOff>406400</xdr:colOff>
      <xdr:row>66</xdr:row>
      <xdr:rowOff>122903</xdr:rowOff>
    </xdr:to>
    <xdr:cxnSp macro="">
      <xdr:nvCxnSpPr>
        <xdr:cNvPr id="216" name="Straight Connector 215">
          <a:extLst>
            <a:ext uri="{FF2B5EF4-FFF2-40B4-BE49-F238E27FC236}">
              <a16:creationId xmlns:a16="http://schemas.microsoft.com/office/drawing/2014/main" id="{46C3BC10-BC0E-7F4D-9D46-6EBA18519C9D}"/>
            </a:ext>
          </a:extLst>
        </xdr:cNvPr>
        <xdr:cNvCxnSpPr>
          <a:cxnSpLocks/>
        </xdr:cNvCxnSpPr>
      </xdr:nvCxnSpPr>
      <xdr:spPr>
        <a:xfrm flipV="1">
          <a:off x="24601129" y="14924139"/>
          <a:ext cx="3663336" cy="860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406400</xdr:colOff>
      <xdr:row>63</xdr:row>
      <xdr:rowOff>114300</xdr:rowOff>
    </xdr:from>
    <xdr:to>
      <xdr:col>40</xdr:col>
      <xdr:colOff>406400</xdr:colOff>
      <xdr:row>69</xdr:row>
      <xdr:rowOff>114300</xdr:rowOff>
    </xdr:to>
    <xdr:cxnSp macro="">
      <xdr:nvCxnSpPr>
        <xdr:cNvPr id="217" name="Straight Connector 216">
          <a:extLst>
            <a:ext uri="{FF2B5EF4-FFF2-40B4-BE49-F238E27FC236}">
              <a16:creationId xmlns:a16="http://schemas.microsoft.com/office/drawing/2014/main" id="{A41E9C4A-5256-BC4E-A843-8E3024669610}"/>
            </a:ext>
          </a:extLst>
        </xdr:cNvPr>
        <xdr:cNvCxnSpPr/>
      </xdr:nvCxnSpPr>
      <xdr:spPr>
        <a:xfrm flipV="1">
          <a:off x="17969571" y="12473568"/>
          <a:ext cx="0" cy="130097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406400</xdr:colOff>
      <xdr:row>63</xdr:row>
      <xdr:rowOff>114300</xdr:rowOff>
    </xdr:from>
    <xdr:to>
      <xdr:col>40</xdr:col>
      <xdr:colOff>812800</xdr:colOff>
      <xdr:row>63</xdr:row>
      <xdr:rowOff>114300</xdr:rowOff>
    </xdr:to>
    <xdr:cxnSp macro="">
      <xdr:nvCxnSpPr>
        <xdr:cNvPr id="218" name="Straight Connector 217">
          <a:extLst>
            <a:ext uri="{FF2B5EF4-FFF2-40B4-BE49-F238E27FC236}">
              <a16:creationId xmlns:a16="http://schemas.microsoft.com/office/drawing/2014/main" id="{D4DDA5D9-BEE3-1E49-934E-44A50751E119}"/>
            </a:ext>
          </a:extLst>
        </xdr:cNvPr>
        <xdr:cNvCxnSpPr>
          <a:cxnSpLocks/>
        </xdr:cNvCxnSpPr>
      </xdr:nvCxnSpPr>
      <xdr:spPr>
        <a:xfrm>
          <a:off x="17969571" y="12473568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419100</xdr:colOff>
      <xdr:row>69</xdr:row>
      <xdr:rowOff>101600</xdr:rowOff>
    </xdr:from>
    <xdr:to>
      <xdr:col>41</xdr:col>
      <xdr:colOff>0</xdr:colOff>
      <xdr:row>69</xdr:row>
      <xdr:rowOff>101600</xdr:rowOff>
    </xdr:to>
    <xdr:cxnSp macro="">
      <xdr:nvCxnSpPr>
        <xdr:cNvPr id="219" name="Straight Connector 218">
          <a:extLst>
            <a:ext uri="{FF2B5EF4-FFF2-40B4-BE49-F238E27FC236}">
              <a16:creationId xmlns:a16="http://schemas.microsoft.com/office/drawing/2014/main" id="{90ACE183-EA6F-3B47-9D2E-BC14D380BA1D}"/>
            </a:ext>
          </a:extLst>
        </xdr:cNvPr>
        <xdr:cNvCxnSpPr>
          <a:cxnSpLocks/>
        </xdr:cNvCxnSpPr>
      </xdr:nvCxnSpPr>
      <xdr:spPr>
        <a:xfrm>
          <a:off x="17982271" y="13761844"/>
          <a:ext cx="417241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19844</xdr:colOff>
      <xdr:row>80</xdr:row>
      <xdr:rowOff>114300</xdr:rowOff>
    </xdr:from>
    <xdr:to>
      <xdr:col>34</xdr:col>
      <xdr:colOff>406400</xdr:colOff>
      <xdr:row>80</xdr:row>
      <xdr:rowOff>119063</xdr:rowOff>
    </xdr:to>
    <xdr:cxnSp macro="">
      <xdr:nvCxnSpPr>
        <xdr:cNvPr id="220" name="Straight Connector 219">
          <a:extLst>
            <a:ext uri="{FF2B5EF4-FFF2-40B4-BE49-F238E27FC236}">
              <a16:creationId xmlns:a16="http://schemas.microsoft.com/office/drawing/2014/main" id="{195AD2EB-55B8-7B4B-B9CA-31E987A316D9}"/>
            </a:ext>
          </a:extLst>
        </xdr:cNvPr>
        <xdr:cNvCxnSpPr>
          <a:cxnSpLocks/>
        </xdr:cNvCxnSpPr>
      </xdr:nvCxnSpPr>
      <xdr:spPr>
        <a:xfrm flipV="1">
          <a:off x="20022344" y="12476956"/>
          <a:ext cx="3720306" cy="476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390769</xdr:colOff>
      <xdr:row>78</xdr:row>
      <xdr:rowOff>127000</xdr:rowOff>
    </xdr:from>
    <xdr:to>
      <xdr:col>34</xdr:col>
      <xdr:colOff>406400</xdr:colOff>
      <xdr:row>85</xdr:row>
      <xdr:rowOff>130256</xdr:rowOff>
    </xdr:to>
    <xdr:cxnSp macro="">
      <xdr:nvCxnSpPr>
        <xdr:cNvPr id="221" name="Straight Connector 220">
          <a:extLst>
            <a:ext uri="{FF2B5EF4-FFF2-40B4-BE49-F238E27FC236}">
              <a16:creationId xmlns:a16="http://schemas.microsoft.com/office/drawing/2014/main" id="{AF5806F2-5801-EC4B-88EF-5D95F6407852}"/>
            </a:ext>
          </a:extLst>
        </xdr:cNvPr>
        <xdr:cNvCxnSpPr/>
      </xdr:nvCxnSpPr>
      <xdr:spPr>
        <a:xfrm flipV="1">
          <a:off x="23185641" y="16409051"/>
          <a:ext cx="15631" cy="150120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406400</xdr:colOff>
      <xdr:row>78</xdr:row>
      <xdr:rowOff>127000</xdr:rowOff>
    </xdr:from>
    <xdr:to>
      <xdr:col>34</xdr:col>
      <xdr:colOff>812800</xdr:colOff>
      <xdr:row>78</xdr:row>
      <xdr:rowOff>127000</xdr:rowOff>
    </xdr:to>
    <xdr:cxnSp macro="">
      <xdr:nvCxnSpPr>
        <xdr:cNvPr id="222" name="Straight Connector 221">
          <a:extLst>
            <a:ext uri="{FF2B5EF4-FFF2-40B4-BE49-F238E27FC236}">
              <a16:creationId xmlns:a16="http://schemas.microsoft.com/office/drawing/2014/main" id="{76B6783A-6F3A-1C49-B14F-7889C8E884B5}"/>
            </a:ext>
          </a:extLst>
        </xdr:cNvPr>
        <xdr:cNvCxnSpPr>
          <a:cxnSpLocks/>
        </xdr:cNvCxnSpPr>
      </xdr:nvCxnSpPr>
      <xdr:spPr>
        <a:xfrm>
          <a:off x="16296888" y="1508822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406400</xdr:colOff>
      <xdr:row>85</xdr:row>
      <xdr:rowOff>114300</xdr:rowOff>
    </xdr:from>
    <xdr:to>
      <xdr:col>34</xdr:col>
      <xdr:colOff>812800</xdr:colOff>
      <xdr:row>85</xdr:row>
      <xdr:rowOff>114300</xdr:rowOff>
    </xdr:to>
    <xdr:cxnSp macro="">
      <xdr:nvCxnSpPr>
        <xdr:cNvPr id="223" name="Straight Connector 222">
          <a:extLst>
            <a:ext uri="{FF2B5EF4-FFF2-40B4-BE49-F238E27FC236}">
              <a16:creationId xmlns:a16="http://schemas.microsoft.com/office/drawing/2014/main" id="{74B76B98-6F86-7D47-A9F9-1076B93AC913}"/>
            </a:ext>
          </a:extLst>
        </xdr:cNvPr>
        <xdr:cNvCxnSpPr>
          <a:cxnSpLocks/>
        </xdr:cNvCxnSpPr>
      </xdr:nvCxnSpPr>
      <xdr:spPr>
        <a:xfrm>
          <a:off x="16296888" y="15942837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279400</xdr:colOff>
      <xdr:row>66</xdr:row>
      <xdr:rowOff>0</xdr:rowOff>
    </xdr:from>
    <xdr:to>
      <xdr:col>40</xdr:col>
      <xdr:colOff>520700</xdr:colOff>
      <xdr:row>67</xdr:row>
      <xdr:rowOff>38100</xdr:rowOff>
    </xdr:to>
    <xdr:sp macro="" textlink="">
      <xdr:nvSpPr>
        <xdr:cNvPr id="224" name="Oval 223">
          <a:extLst>
            <a:ext uri="{FF2B5EF4-FFF2-40B4-BE49-F238E27FC236}">
              <a16:creationId xmlns:a16="http://schemas.microsoft.com/office/drawing/2014/main" id="{66F3B5AF-E216-2F41-8778-1FA67B2AB28E}"/>
            </a:ext>
          </a:extLst>
        </xdr:cNvPr>
        <xdr:cNvSpPr/>
      </xdr:nvSpPr>
      <xdr:spPr>
        <a:xfrm flipV="1">
          <a:off x="17842571" y="13009756"/>
          <a:ext cx="241300" cy="254929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36</xdr:col>
      <xdr:colOff>0</xdr:colOff>
      <xdr:row>78</xdr:row>
      <xdr:rowOff>131711</xdr:rowOff>
    </xdr:from>
    <xdr:to>
      <xdr:col>40</xdr:col>
      <xdr:colOff>292100</xdr:colOff>
      <xdr:row>78</xdr:row>
      <xdr:rowOff>163871</xdr:rowOff>
    </xdr:to>
    <xdr:cxnSp macro="">
      <xdr:nvCxnSpPr>
        <xdr:cNvPr id="225" name="Straight Connector 224">
          <a:extLst>
            <a:ext uri="{FF2B5EF4-FFF2-40B4-BE49-F238E27FC236}">
              <a16:creationId xmlns:a16="http://schemas.microsoft.com/office/drawing/2014/main" id="{2D57F536-F7D8-C64A-A36D-A74CBA6167C3}"/>
            </a:ext>
          </a:extLst>
        </xdr:cNvPr>
        <xdr:cNvCxnSpPr>
          <a:cxnSpLocks/>
          <a:endCxn id="230" idx="2"/>
        </xdr:cNvCxnSpPr>
      </xdr:nvCxnSpPr>
      <xdr:spPr>
        <a:xfrm flipV="1">
          <a:off x="24580645" y="17583969"/>
          <a:ext cx="3569520" cy="3216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406400</xdr:colOff>
      <xdr:row>76</xdr:row>
      <xdr:rowOff>114300</xdr:rowOff>
    </xdr:from>
    <xdr:to>
      <xdr:col>40</xdr:col>
      <xdr:colOff>419100</xdr:colOff>
      <xdr:row>80</xdr:row>
      <xdr:rowOff>114300</xdr:rowOff>
    </xdr:to>
    <xdr:cxnSp macro="">
      <xdr:nvCxnSpPr>
        <xdr:cNvPr id="226" name="Straight Connector 225">
          <a:extLst>
            <a:ext uri="{FF2B5EF4-FFF2-40B4-BE49-F238E27FC236}">
              <a16:creationId xmlns:a16="http://schemas.microsoft.com/office/drawing/2014/main" id="{AD051F22-0D5E-C549-912F-49124B17AFFA}"/>
            </a:ext>
          </a:extLst>
        </xdr:cNvPr>
        <xdr:cNvCxnSpPr/>
      </xdr:nvCxnSpPr>
      <xdr:spPr>
        <a:xfrm flipH="1" flipV="1">
          <a:off x="17969571" y="14641861"/>
          <a:ext cx="12700" cy="86731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406400</xdr:colOff>
      <xdr:row>76</xdr:row>
      <xdr:rowOff>101600</xdr:rowOff>
    </xdr:from>
    <xdr:to>
      <xdr:col>40</xdr:col>
      <xdr:colOff>812800</xdr:colOff>
      <xdr:row>76</xdr:row>
      <xdr:rowOff>101600</xdr:rowOff>
    </xdr:to>
    <xdr:cxnSp macro="">
      <xdr:nvCxnSpPr>
        <xdr:cNvPr id="227" name="Straight Connector 226">
          <a:extLst>
            <a:ext uri="{FF2B5EF4-FFF2-40B4-BE49-F238E27FC236}">
              <a16:creationId xmlns:a16="http://schemas.microsoft.com/office/drawing/2014/main" id="{448CCAC2-D131-7743-993C-9C2A56F63656}"/>
            </a:ext>
          </a:extLst>
        </xdr:cNvPr>
        <xdr:cNvCxnSpPr>
          <a:cxnSpLocks/>
        </xdr:cNvCxnSpPr>
      </xdr:nvCxnSpPr>
      <xdr:spPr>
        <a:xfrm>
          <a:off x="17969571" y="14629161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406400</xdr:colOff>
      <xdr:row>80</xdr:row>
      <xdr:rowOff>101600</xdr:rowOff>
    </xdr:from>
    <xdr:to>
      <xdr:col>40</xdr:col>
      <xdr:colOff>812800</xdr:colOff>
      <xdr:row>80</xdr:row>
      <xdr:rowOff>101600</xdr:rowOff>
    </xdr:to>
    <xdr:cxnSp macro="">
      <xdr:nvCxnSpPr>
        <xdr:cNvPr id="228" name="Straight Connector 227">
          <a:extLst>
            <a:ext uri="{FF2B5EF4-FFF2-40B4-BE49-F238E27FC236}">
              <a16:creationId xmlns:a16="http://schemas.microsoft.com/office/drawing/2014/main" id="{1692DB91-F229-7D48-8613-2628B0421468}"/>
            </a:ext>
          </a:extLst>
        </xdr:cNvPr>
        <xdr:cNvCxnSpPr>
          <a:cxnSpLocks/>
        </xdr:cNvCxnSpPr>
      </xdr:nvCxnSpPr>
      <xdr:spPr>
        <a:xfrm>
          <a:off x="17969571" y="15496478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292100</xdr:colOff>
      <xdr:row>80</xdr:row>
      <xdr:rowOff>0</xdr:rowOff>
    </xdr:from>
    <xdr:to>
      <xdr:col>34</xdr:col>
      <xdr:colOff>533400</xdr:colOff>
      <xdr:row>81</xdr:row>
      <xdr:rowOff>38100</xdr:rowOff>
    </xdr:to>
    <xdr:sp macro="" textlink="">
      <xdr:nvSpPr>
        <xdr:cNvPr id="229" name="Oval 228">
          <a:extLst>
            <a:ext uri="{FF2B5EF4-FFF2-40B4-BE49-F238E27FC236}">
              <a16:creationId xmlns:a16="http://schemas.microsoft.com/office/drawing/2014/main" id="{C6A7DA33-089A-2E4D-9813-AE6649E7EE27}"/>
            </a:ext>
          </a:extLst>
        </xdr:cNvPr>
        <xdr:cNvSpPr/>
      </xdr:nvSpPr>
      <xdr:spPr>
        <a:xfrm flipV="1">
          <a:off x="16182588" y="15394878"/>
          <a:ext cx="241300" cy="254929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40</xdr:col>
      <xdr:colOff>292100</xdr:colOff>
      <xdr:row>78</xdr:row>
      <xdr:rowOff>0</xdr:rowOff>
    </xdr:from>
    <xdr:to>
      <xdr:col>40</xdr:col>
      <xdr:colOff>533400</xdr:colOff>
      <xdr:row>79</xdr:row>
      <xdr:rowOff>38100</xdr:rowOff>
    </xdr:to>
    <xdr:sp macro="" textlink="">
      <xdr:nvSpPr>
        <xdr:cNvPr id="230" name="Oval 229">
          <a:extLst>
            <a:ext uri="{FF2B5EF4-FFF2-40B4-BE49-F238E27FC236}">
              <a16:creationId xmlns:a16="http://schemas.microsoft.com/office/drawing/2014/main" id="{7C599850-BC49-4A48-AA68-EA4ADB07B37F}"/>
            </a:ext>
          </a:extLst>
        </xdr:cNvPr>
        <xdr:cNvSpPr/>
      </xdr:nvSpPr>
      <xdr:spPr>
        <a:xfrm flipV="1">
          <a:off x="17855271" y="14961220"/>
          <a:ext cx="241300" cy="254929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42</xdr:col>
      <xdr:colOff>25400</xdr:colOff>
      <xdr:row>42</xdr:row>
      <xdr:rowOff>101600</xdr:rowOff>
    </xdr:from>
    <xdr:to>
      <xdr:col>46</xdr:col>
      <xdr:colOff>393700</xdr:colOff>
      <xdr:row>42</xdr:row>
      <xdr:rowOff>127000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B352F83D-DBBB-E640-85D0-E598356AC0FE}"/>
            </a:ext>
          </a:extLst>
        </xdr:cNvPr>
        <xdr:cNvCxnSpPr>
          <a:cxnSpLocks/>
        </xdr:cNvCxnSpPr>
      </xdr:nvCxnSpPr>
      <xdr:spPr>
        <a:xfrm flipV="1">
          <a:off x="30200600" y="9728200"/>
          <a:ext cx="3721100" cy="25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390769</xdr:colOff>
      <xdr:row>40</xdr:row>
      <xdr:rowOff>88900</xdr:rowOff>
    </xdr:from>
    <xdr:to>
      <xdr:col>46</xdr:col>
      <xdr:colOff>393700</xdr:colOff>
      <xdr:row>47</xdr:row>
      <xdr:rowOff>65128</xdr:rowOff>
    </xdr:to>
    <xdr:cxnSp macro="">
      <xdr:nvCxnSpPr>
        <xdr:cNvPr id="291" name="Straight Connector 290">
          <a:extLst>
            <a:ext uri="{FF2B5EF4-FFF2-40B4-BE49-F238E27FC236}">
              <a16:creationId xmlns:a16="http://schemas.microsoft.com/office/drawing/2014/main" id="{805086E3-A03A-A64F-8294-C65B59EE5276}"/>
            </a:ext>
          </a:extLst>
        </xdr:cNvPr>
        <xdr:cNvCxnSpPr/>
      </xdr:nvCxnSpPr>
      <xdr:spPr>
        <a:xfrm flipH="1">
          <a:off x="26442051" y="8067105"/>
          <a:ext cx="2931" cy="153930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393700</xdr:colOff>
      <xdr:row>40</xdr:row>
      <xdr:rowOff>88900</xdr:rowOff>
    </xdr:from>
    <xdr:to>
      <xdr:col>46</xdr:col>
      <xdr:colOff>800100</xdr:colOff>
      <xdr:row>40</xdr:row>
      <xdr:rowOff>88900</xdr:rowOff>
    </xdr:to>
    <xdr:cxnSp macro="">
      <xdr:nvCxnSpPr>
        <xdr:cNvPr id="292" name="Straight Connector 291">
          <a:extLst>
            <a:ext uri="{FF2B5EF4-FFF2-40B4-BE49-F238E27FC236}">
              <a16:creationId xmlns:a16="http://schemas.microsoft.com/office/drawing/2014/main" id="{B449E774-AEDC-4449-9152-B2973C771071}"/>
            </a:ext>
          </a:extLst>
        </xdr:cNvPr>
        <xdr:cNvCxnSpPr>
          <a:cxnSpLocks/>
        </xdr:cNvCxnSpPr>
      </xdr:nvCxnSpPr>
      <xdr:spPr>
        <a:xfrm>
          <a:off x="12061825" y="5287963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393700</xdr:colOff>
      <xdr:row>47</xdr:row>
      <xdr:rowOff>88900</xdr:rowOff>
    </xdr:from>
    <xdr:to>
      <xdr:col>46</xdr:col>
      <xdr:colOff>800100</xdr:colOff>
      <xdr:row>47</xdr:row>
      <xdr:rowOff>88900</xdr:rowOff>
    </xdr:to>
    <xdr:cxnSp macro="">
      <xdr:nvCxnSpPr>
        <xdr:cNvPr id="293" name="Straight Connector 292">
          <a:extLst>
            <a:ext uri="{FF2B5EF4-FFF2-40B4-BE49-F238E27FC236}">
              <a16:creationId xmlns:a16="http://schemas.microsoft.com/office/drawing/2014/main" id="{CBA2C4A8-C327-E549-BEF0-912554E42D4C}"/>
            </a:ext>
          </a:extLst>
        </xdr:cNvPr>
        <xdr:cNvCxnSpPr>
          <a:cxnSpLocks/>
        </xdr:cNvCxnSpPr>
      </xdr:nvCxnSpPr>
      <xdr:spPr>
        <a:xfrm>
          <a:off x="12061825" y="6081713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266700</xdr:colOff>
      <xdr:row>41</xdr:row>
      <xdr:rowOff>165100</xdr:rowOff>
    </xdr:from>
    <xdr:to>
      <xdr:col>46</xdr:col>
      <xdr:colOff>508000</xdr:colOff>
      <xdr:row>43</xdr:row>
      <xdr:rowOff>0</xdr:rowOff>
    </xdr:to>
    <xdr:sp macro="" textlink="">
      <xdr:nvSpPr>
        <xdr:cNvPr id="294" name="Oval 293">
          <a:extLst>
            <a:ext uri="{FF2B5EF4-FFF2-40B4-BE49-F238E27FC236}">
              <a16:creationId xmlns:a16="http://schemas.microsoft.com/office/drawing/2014/main" id="{F5BCA2DB-7E2C-FE45-AE23-73E018D51987}"/>
            </a:ext>
          </a:extLst>
        </xdr:cNvPr>
        <xdr:cNvSpPr/>
      </xdr:nvSpPr>
      <xdr:spPr>
        <a:xfrm flipV="1">
          <a:off x="11934825" y="5562600"/>
          <a:ext cx="241300" cy="231775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50</xdr:col>
      <xdr:colOff>0</xdr:colOff>
      <xdr:row>40</xdr:row>
      <xdr:rowOff>114300</xdr:rowOff>
    </xdr:from>
    <xdr:to>
      <xdr:col>50</xdr:col>
      <xdr:colOff>406400</xdr:colOff>
      <xdr:row>40</xdr:row>
      <xdr:rowOff>114300</xdr:rowOff>
    </xdr:to>
    <xdr:cxnSp macro="">
      <xdr:nvCxnSpPr>
        <xdr:cNvPr id="295" name="Straight Connector 294">
          <a:extLst>
            <a:ext uri="{FF2B5EF4-FFF2-40B4-BE49-F238E27FC236}">
              <a16:creationId xmlns:a16="http://schemas.microsoft.com/office/drawing/2014/main" id="{DA2C9E28-3D2F-554B-9261-B99067476F67}"/>
            </a:ext>
          </a:extLst>
        </xdr:cNvPr>
        <xdr:cNvCxnSpPr>
          <a:cxnSpLocks/>
        </xdr:cNvCxnSpPr>
      </xdr:nvCxnSpPr>
      <xdr:spPr>
        <a:xfrm>
          <a:off x="13335000" y="5313363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406400</xdr:colOff>
      <xdr:row>38</xdr:row>
      <xdr:rowOff>101600</xdr:rowOff>
    </xdr:from>
    <xdr:to>
      <xdr:col>50</xdr:col>
      <xdr:colOff>406400</xdr:colOff>
      <xdr:row>42</xdr:row>
      <xdr:rowOff>101600</xdr:rowOff>
    </xdr:to>
    <xdr:cxnSp macro="">
      <xdr:nvCxnSpPr>
        <xdr:cNvPr id="296" name="Straight Connector 295">
          <a:extLst>
            <a:ext uri="{FF2B5EF4-FFF2-40B4-BE49-F238E27FC236}">
              <a16:creationId xmlns:a16="http://schemas.microsoft.com/office/drawing/2014/main" id="{B6706C3D-1245-4244-BCC2-B1E07C3CAAC4}"/>
            </a:ext>
          </a:extLst>
        </xdr:cNvPr>
        <xdr:cNvCxnSpPr/>
      </xdr:nvCxnSpPr>
      <xdr:spPr>
        <a:xfrm>
          <a:off x="13741400" y="4903788"/>
          <a:ext cx="0" cy="793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406400</xdr:colOff>
      <xdr:row>38</xdr:row>
      <xdr:rowOff>101600</xdr:rowOff>
    </xdr:from>
    <xdr:to>
      <xdr:col>50</xdr:col>
      <xdr:colOff>812800</xdr:colOff>
      <xdr:row>38</xdr:row>
      <xdr:rowOff>101600</xdr:rowOff>
    </xdr:to>
    <xdr:cxnSp macro="">
      <xdr:nvCxnSpPr>
        <xdr:cNvPr id="297" name="Straight Connector 296">
          <a:extLst>
            <a:ext uri="{FF2B5EF4-FFF2-40B4-BE49-F238E27FC236}">
              <a16:creationId xmlns:a16="http://schemas.microsoft.com/office/drawing/2014/main" id="{F4DDFB89-873B-1948-AF9F-DE4333469D85}"/>
            </a:ext>
          </a:extLst>
        </xdr:cNvPr>
        <xdr:cNvCxnSpPr>
          <a:cxnSpLocks/>
        </xdr:cNvCxnSpPr>
      </xdr:nvCxnSpPr>
      <xdr:spPr>
        <a:xfrm>
          <a:off x="13741400" y="4903788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419100</xdr:colOff>
      <xdr:row>42</xdr:row>
      <xdr:rowOff>101600</xdr:rowOff>
    </xdr:from>
    <xdr:to>
      <xdr:col>51</xdr:col>
      <xdr:colOff>0</xdr:colOff>
      <xdr:row>42</xdr:row>
      <xdr:rowOff>101600</xdr:rowOff>
    </xdr:to>
    <xdr:cxnSp macro="">
      <xdr:nvCxnSpPr>
        <xdr:cNvPr id="298" name="Straight Connector 297">
          <a:extLst>
            <a:ext uri="{FF2B5EF4-FFF2-40B4-BE49-F238E27FC236}">
              <a16:creationId xmlns:a16="http://schemas.microsoft.com/office/drawing/2014/main" id="{4AA97A62-EF02-5747-BB05-FDF575B26D84}"/>
            </a:ext>
          </a:extLst>
        </xdr:cNvPr>
        <xdr:cNvCxnSpPr>
          <a:cxnSpLocks/>
        </xdr:cNvCxnSpPr>
      </xdr:nvCxnSpPr>
      <xdr:spPr>
        <a:xfrm>
          <a:off x="13754100" y="5697538"/>
          <a:ext cx="4143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292100</xdr:colOff>
      <xdr:row>40</xdr:row>
      <xdr:rowOff>0</xdr:rowOff>
    </xdr:from>
    <xdr:to>
      <xdr:col>50</xdr:col>
      <xdr:colOff>533400</xdr:colOff>
      <xdr:row>41</xdr:row>
      <xdr:rowOff>0</xdr:rowOff>
    </xdr:to>
    <xdr:sp macro="" textlink="">
      <xdr:nvSpPr>
        <xdr:cNvPr id="299" name="Rectangle 298">
          <a:extLst>
            <a:ext uri="{FF2B5EF4-FFF2-40B4-BE49-F238E27FC236}">
              <a16:creationId xmlns:a16="http://schemas.microsoft.com/office/drawing/2014/main" id="{AF4ABE32-C4C8-6842-ACB6-64939AF8D241}"/>
            </a:ext>
          </a:extLst>
        </xdr:cNvPr>
        <xdr:cNvSpPr/>
      </xdr:nvSpPr>
      <xdr:spPr>
        <a:xfrm>
          <a:off x="13627100" y="5199063"/>
          <a:ext cx="241300" cy="1984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55</xdr:col>
      <xdr:colOff>406400</xdr:colOff>
      <xdr:row>40</xdr:row>
      <xdr:rowOff>101600</xdr:rowOff>
    </xdr:from>
    <xdr:to>
      <xdr:col>55</xdr:col>
      <xdr:colOff>406400</xdr:colOff>
      <xdr:row>44</xdr:row>
      <xdr:rowOff>101600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D57B99EE-569C-8040-AF2F-E7E9CA218352}"/>
            </a:ext>
          </a:extLst>
        </xdr:cNvPr>
        <xdr:cNvCxnSpPr/>
      </xdr:nvCxnSpPr>
      <xdr:spPr>
        <a:xfrm>
          <a:off x="15408275" y="5300663"/>
          <a:ext cx="0" cy="793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19538</xdr:colOff>
      <xdr:row>42</xdr:row>
      <xdr:rowOff>133838</xdr:rowOff>
    </xdr:from>
    <xdr:to>
      <xdr:col>55</xdr:col>
      <xdr:colOff>269631</xdr:colOff>
      <xdr:row>42</xdr:row>
      <xdr:rowOff>136769</xdr:rowOff>
    </xdr:to>
    <xdr:cxnSp macro="">
      <xdr:nvCxnSpPr>
        <xdr:cNvPr id="301" name="Straight Connector 300">
          <a:extLst>
            <a:ext uri="{FF2B5EF4-FFF2-40B4-BE49-F238E27FC236}">
              <a16:creationId xmlns:a16="http://schemas.microsoft.com/office/drawing/2014/main" id="{3EB9FFE4-5407-4746-8F21-213A54DD7F91}"/>
            </a:ext>
          </a:extLst>
        </xdr:cNvPr>
        <xdr:cNvCxnSpPr>
          <a:cxnSpLocks/>
        </xdr:cNvCxnSpPr>
      </xdr:nvCxnSpPr>
      <xdr:spPr>
        <a:xfrm flipV="1">
          <a:off x="29561692" y="9277838"/>
          <a:ext cx="2711939" cy="293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406400</xdr:colOff>
      <xdr:row>40</xdr:row>
      <xdr:rowOff>101600</xdr:rowOff>
    </xdr:from>
    <xdr:to>
      <xdr:col>55</xdr:col>
      <xdr:colOff>812800</xdr:colOff>
      <xdr:row>40</xdr:row>
      <xdr:rowOff>101600</xdr:rowOff>
    </xdr:to>
    <xdr:cxnSp macro="">
      <xdr:nvCxnSpPr>
        <xdr:cNvPr id="302" name="Straight Connector 301">
          <a:extLst>
            <a:ext uri="{FF2B5EF4-FFF2-40B4-BE49-F238E27FC236}">
              <a16:creationId xmlns:a16="http://schemas.microsoft.com/office/drawing/2014/main" id="{D2A5AECB-48DD-A045-A65B-572838077088}"/>
            </a:ext>
          </a:extLst>
        </xdr:cNvPr>
        <xdr:cNvCxnSpPr>
          <a:cxnSpLocks/>
        </xdr:cNvCxnSpPr>
      </xdr:nvCxnSpPr>
      <xdr:spPr>
        <a:xfrm>
          <a:off x="15408275" y="5300663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406400</xdr:colOff>
      <xdr:row>44</xdr:row>
      <xdr:rowOff>88900</xdr:rowOff>
    </xdr:from>
    <xdr:to>
      <xdr:col>55</xdr:col>
      <xdr:colOff>812800</xdr:colOff>
      <xdr:row>44</xdr:row>
      <xdr:rowOff>88900</xdr:rowOff>
    </xdr:to>
    <xdr:cxnSp macro="">
      <xdr:nvCxnSpPr>
        <xdr:cNvPr id="303" name="Straight Connector 302">
          <a:extLst>
            <a:ext uri="{FF2B5EF4-FFF2-40B4-BE49-F238E27FC236}">
              <a16:creationId xmlns:a16="http://schemas.microsoft.com/office/drawing/2014/main" id="{F2C2953B-F7B4-774D-84B6-427E337BC267}"/>
            </a:ext>
          </a:extLst>
        </xdr:cNvPr>
        <xdr:cNvCxnSpPr>
          <a:cxnSpLocks/>
        </xdr:cNvCxnSpPr>
      </xdr:nvCxnSpPr>
      <xdr:spPr>
        <a:xfrm>
          <a:off x="15408275" y="6081713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292100</xdr:colOff>
      <xdr:row>42</xdr:row>
      <xdr:rowOff>0</xdr:rowOff>
    </xdr:from>
    <xdr:to>
      <xdr:col>55</xdr:col>
      <xdr:colOff>533400</xdr:colOff>
      <xdr:row>43</xdr:row>
      <xdr:rowOff>38100</xdr:rowOff>
    </xdr:to>
    <xdr:sp macro="" textlink="">
      <xdr:nvSpPr>
        <xdr:cNvPr id="304" name="Oval 303">
          <a:extLst>
            <a:ext uri="{FF2B5EF4-FFF2-40B4-BE49-F238E27FC236}">
              <a16:creationId xmlns:a16="http://schemas.microsoft.com/office/drawing/2014/main" id="{9B06E164-475E-BA45-ABBD-A0590DB69186}"/>
            </a:ext>
          </a:extLst>
        </xdr:cNvPr>
        <xdr:cNvSpPr/>
      </xdr:nvSpPr>
      <xdr:spPr>
        <a:xfrm flipV="1">
          <a:off x="15293975" y="5595938"/>
          <a:ext cx="241300" cy="236537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63</xdr:col>
      <xdr:colOff>0</xdr:colOff>
      <xdr:row>40</xdr:row>
      <xdr:rowOff>114300</xdr:rowOff>
    </xdr:from>
    <xdr:to>
      <xdr:col>63</xdr:col>
      <xdr:colOff>368300</xdr:colOff>
      <xdr:row>40</xdr:row>
      <xdr:rowOff>114300</xdr:rowOff>
    </xdr:to>
    <xdr:cxnSp macro="">
      <xdr:nvCxnSpPr>
        <xdr:cNvPr id="305" name="Straight Connector 304">
          <a:extLst>
            <a:ext uri="{FF2B5EF4-FFF2-40B4-BE49-F238E27FC236}">
              <a16:creationId xmlns:a16="http://schemas.microsoft.com/office/drawing/2014/main" id="{91A24C6A-48E1-C441-9C3C-B9F71958CD3C}"/>
            </a:ext>
          </a:extLst>
        </xdr:cNvPr>
        <xdr:cNvCxnSpPr>
          <a:cxnSpLocks/>
        </xdr:cNvCxnSpPr>
      </xdr:nvCxnSpPr>
      <xdr:spPr>
        <a:xfrm>
          <a:off x="16668750" y="5313363"/>
          <a:ext cx="3683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381000</xdr:colOff>
      <xdr:row>38</xdr:row>
      <xdr:rowOff>101600</xdr:rowOff>
    </xdr:from>
    <xdr:to>
      <xdr:col>63</xdr:col>
      <xdr:colOff>381000</xdr:colOff>
      <xdr:row>42</xdr:row>
      <xdr:rowOff>101600</xdr:rowOff>
    </xdr:to>
    <xdr:cxnSp macro="">
      <xdr:nvCxnSpPr>
        <xdr:cNvPr id="306" name="Straight Connector 305">
          <a:extLst>
            <a:ext uri="{FF2B5EF4-FFF2-40B4-BE49-F238E27FC236}">
              <a16:creationId xmlns:a16="http://schemas.microsoft.com/office/drawing/2014/main" id="{E29216A6-1768-1641-8C71-8E7A73739147}"/>
            </a:ext>
          </a:extLst>
        </xdr:cNvPr>
        <xdr:cNvCxnSpPr/>
      </xdr:nvCxnSpPr>
      <xdr:spPr>
        <a:xfrm>
          <a:off x="17049750" y="4903788"/>
          <a:ext cx="0" cy="793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381000</xdr:colOff>
      <xdr:row>38</xdr:row>
      <xdr:rowOff>101600</xdr:rowOff>
    </xdr:from>
    <xdr:to>
      <xdr:col>64</xdr:col>
      <xdr:colOff>0</xdr:colOff>
      <xdr:row>38</xdr:row>
      <xdr:rowOff>101600</xdr:rowOff>
    </xdr:to>
    <xdr:cxnSp macro="">
      <xdr:nvCxnSpPr>
        <xdr:cNvPr id="307" name="Straight Connector 306">
          <a:extLst>
            <a:ext uri="{FF2B5EF4-FFF2-40B4-BE49-F238E27FC236}">
              <a16:creationId xmlns:a16="http://schemas.microsoft.com/office/drawing/2014/main" id="{0AB0FD34-0D63-654E-851B-156B36EC17C1}"/>
            </a:ext>
          </a:extLst>
        </xdr:cNvPr>
        <xdr:cNvCxnSpPr>
          <a:cxnSpLocks/>
        </xdr:cNvCxnSpPr>
      </xdr:nvCxnSpPr>
      <xdr:spPr>
        <a:xfrm>
          <a:off x="17049750" y="4903788"/>
          <a:ext cx="4524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368300</xdr:colOff>
      <xdr:row>42</xdr:row>
      <xdr:rowOff>114300</xdr:rowOff>
    </xdr:from>
    <xdr:to>
      <xdr:col>63</xdr:col>
      <xdr:colOff>812800</xdr:colOff>
      <xdr:row>42</xdr:row>
      <xdr:rowOff>114300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92851BDD-B393-C646-879B-AA2C5616B51C}"/>
            </a:ext>
          </a:extLst>
        </xdr:cNvPr>
        <xdr:cNvCxnSpPr>
          <a:cxnSpLocks/>
        </xdr:cNvCxnSpPr>
      </xdr:nvCxnSpPr>
      <xdr:spPr>
        <a:xfrm>
          <a:off x="17037050" y="5710238"/>
          <a:ext cx="4445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266700</xdr:colOff>
      <xdr:row>40</xdr:row>
      <xdr:rowOff>0</xdr:rowOff>
    </xdr:from>
    <xdr:to>
      <xdr:col>63</xdr:col>
      <xdr:colOff>508000</xdr:colOff>
      <xdr:row>41</xdr:row>
      <xdr:rowOff>38100</xdr:rowOff>
    </xdr:to>
    <xdr:sp macro="" textlink="">
      <xdr:nvSpPr>
        <xdr:cNvPr id="309" name="Oval 308">
          <a:extLst>
            <a:ext uri="{FF2B5EF4-FFF2-40B4-BE49-F238E27FC236}">
              <a16:creationId xmlns:a16="http://schemas.microsoft.com/office/drawing/2014/main" id="{979DEDF6-7403-094F-8EA9-83C7B4320F56}"/>
            </a:ext>
          </a:extLst>
        </xdr:cNvPr>
        <xdr:cNvSpPr/>
      </xdr:nvSpPr>
      <xdr:spPr>
        <a:xfrm flipV="1">
          <a:off x="16935450" y="5199063"/>
          <a:ext cx="241300" cy="236537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34</xdr:col>
      <xdr:colOff>496090</xdr:colOff>
      <xdr:row>56</xdr:row>
      <xdr:rowOff>155841</xdr:rowOff>
    </xdr:from>
    <xdr:to>
      <xdr:col>35</xdr:col>
      <xdr:colOff>13490</xdr:colOff>
      <xdr:row>56</xdr:row>
      <xdr:rowOff>155841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78D046FD-D189-5241-A85B-CCC2E5E903B2}"/>
            </a:ext>
          </a:extLst>
        </xdr:cNvPr>
        <xdr:cNvCxnSpPr/>
      </xdr:nvCxnSpPr>
      <xdr:spPr>
        <a:xfrm>
          <a:off x="23728623" y="11535041"/>
          <a:ext cx="34713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496100</xdr:colOff>
      <xdr:row>38</xdr:row>
      <xdr:rowOff>99221</xdr:rowOff>
    </xdr:from>
    <xdr:to>
      <xdr:col>35</xdr:col>
      <xdr:colOff>13500</xdr:colOff>
      <xdr:row>38</xdr:row>
      <xdr:rowOff>99221</xdr:rowOff>
    </xdr:to>
    <xdr:cxnSp macro="">
      <xdr:nvCxnSpPr>
        <xdr:cNvPr id="358" name="Straight Connector 357">
          <a:extLst>
            <a:ext uri="{FF2B5EF4-FFF2-40B4-BE49-F238E27FC236}">
              <a16:creationId xmlns:a16="http://schemas.microsoft.com/office/drawing/2014/main" id="{CD079ADA-FE01-4B49-A724-A07D80812936}"/>
            </a:ext>
          </a:extLst>
        </xdr:cNvPr>
        <xdr:cNvCxnSpPr/>
      </xdr:nvCxnSpPr>
      <xdr:spPr>
        <a:xfrm>
          <a:off x="8830475" y="5893596"/>
          <a:ext cx="3508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406400</xdr:colOff>
      <xdr:row>54</xdr:row>
      <xdr:rowOff>101600</xdr:rowOff>
    </xdr:from>
    <xdr:to>
      <xdr:col>40</xdr:col>
      <xdr:colOff>406400</xdr:colOff>
      <xdr:row>58</xdr:row>
      <xdr:rowOff>101600</xdr:rowOff>
    </xdr:to>
    <xdr:cxnSp macro="">
      <xdr:nvCxnSpPr>
        <xdr:cNvPr id="369" name="Straight Connector 368">
          <a:extLst>
            <a:ext uri="{FF2B5EF4-FFF2-40B4-BE49-F238E27FC236}">
              <a16:creationId xmlns:a16="http://schemas.microsoft.com/office/drawing/2014/main" id="{A539FCA6-9FE4-F841-B271-1B612378999A}"/>
            </a:ext>
          </a:extLst>
        </xdr:cNvPr>
        <xdr:cNvCxnSpPr/>
      </xdr:nvCxnSpPr>
      <xdr:spPr>
        <a:xfrm>
          <a:off x="15408275" y="4705350"/>
          <a:ext cx="0" cy="793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20484</xdr:colOff>
      <xdr:row>56</xdr:row>
      <xdr:rowOff>102420</xdr:rowOff>
    </xdr:from>
    <xdr:to>
      <xdr:col>40</xdr:col>
      <xdr:colOff>406400</xdr:colOff>
      <xdr:row>56</xdr:row>
      <xdr:rowOff>114300</xdr:rowOff>
    </xdr:to>
    <xdr:cxnSp macro="">
      <xdr:nvCxnSpPr>
        <xdr:cNvPr id="370" name="Straight Connector 369">
          <a:extLst>
            <a:ext uri="{FF2B5EF4-FFF2-40B4-BE49-F238E27FC236}">
              <a16:creationId xmlns:a16="http://schemas.microsoft.com/office/drawing/2014/main" id="{1C6EDF33-D958-E34D-9077-C5CE9E497750}"/>
            </a:ext>
          </a:extLst>
        </xdr:cNvPr>
        <xdr:cNvCxnSpPr>
          <a:cxnSpLocks/>
        </xdr:cNvCxnSpPr>
      </xdr:nvCxnSpPr>
      <xdr:spPr>
        <a:xfrm>
          <a:off x="24601129" y="12740968"/>
          <a:ext cx="3663336" cy="1188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406400</xdr:colOff>
      <xdr:row>54</xdr:row>
      <xdr:rowOff>101600</xdr:rowOff>
    </xdr:from>
    <xdr:to>
      <xdr:col>40</xdr:col>
      <xdr:colOff>812800</xdr:colOff>
      <xdr:row>54</xdr:row>
      <xdr:rowOff>101600</xdr:rowOff>
    </xdr:to>
    <xdr:cxnSp macro="">
      <xdr:nvCxnSpPr>
        <xdr:cNvPr id="371" name="Straight Connector 370">
          <a:extLst>
            <a:ext uri="{FF2B5EF4-FFF2-40B4-BE49-F238E27FC236}">
              <a16:creationId xmlns:a16="http://schemas.microsoft.com/office/drawing/2014/main" id="{766D8DAE-B0E1-0448-8218-6F0AD75B1759}"/>
            </a:ext>
          </a:extLst>
        </xdr:cNvPr>
        <xdr:cNvCxnSpPr>
          <a:cxnSpLocks/>
        </xdr:cNvCxnSpPr>
      </xdr:nvCxnSpPr>
      <xdr:spPr>
        <a:xfrm>
          <a:off x="15408275" y="470535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406400</xdr:colOff>
      <xdr:row>58</xdr:row>
      <xdr:rowOff>88900</xdr:rowOff>
    </xdr:from>
    <xdr:to>
      <xdr:col>40</xdr:col>
      <xdr:colOff>812800</xdr:colOff>
      <xdr:row>58</xdr:row>
      <xdr:rowOff>88900</xdr:rowOff>
    </xdr:to>
    <xdr:cxnSp macro="">
      <xdr:nvCxnSpPr>
        <xdr:cNvPr id="372" name="Straight Connector 371">
          <a:extLst>
            <a:ext uri="{FF2B5EF4-FFF2-40B4-BE49-F238E27FC236}">
              <a16:creationId xmlns:a16="http://schemas.microsoft.com/office/drawing/2014/main" id="{0E43143B-9932-E644-94F6-EE6703F7B2CA}"/>
            </a:ext>
          </a:extLst>
        </xdr:cNvPr>
        <xdr:cNvCxnSpPr>
          <a:cxnSpLocks/>
        </xdr:cNvCxnSpPr>
      </xdr:nvCxnSpPr>
      <xdr:spPr>
        <a:xfrm>
          <a:off x="15408275" y="548640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292100</xdr:colOff>
      <xdr:row>56</xdr:row>
      <xdr:rowOff>0</xdr:rowOff>
    </xdr:from>
    <xdr:to>
      <xdr:col>40</xdr:col>
      <xdr:colOff>533400</xdr:colOff>
      <xdr:row>57</xdr:row>
      <xdr:rowOff>38100</xdr:rowOff>
    </xdr:to>
    <xdr:sp macro="" textlink="">
      <xdr:nvSpPr>
        <xdr:cNvPr id="373" name="Oval 372">
          <a:extLst>
            <a:ext uri="{FF2B5EF4-FFF2-40B4-BE49-F238E27FC236}">
              <a16:creationId xmlns:a16="http://schemas.microsoft.com/office/drawing/2014/main" id="{168A7FA3-403F-9044-BED0-30497C722E26}"/>
            </a:ext>
          </a:extLst>
        </xdr:cNvPr>
        <xdr:cNvSpPr/>
      </xdr:nvSpPr>
      <xdr:spPr>
        <a:xfrm flipV="1">
          <a:off x="15293975" y="5000625"/>
          <a:ext cx="241300" cy="236538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42</xdr:col>
      <xdr:colOff>25400</xdr:colOff>
      <xdr:row>54</xdr:row>
      <xdr:rowOff>139700</xdr:rowOff>
    </xdr:from>
    <xdr:to>
      <xdr:col>46</xdr:col>
      <xdr:colOff>342900</xdr:colOff>
      <xdr:row>54</xdr:row>
      <xdr:rowOff>152400</xdr:rowOff>
    </xdr:to>
    <xdr:cxnSp macro="">
      <xdr:nvCxnSpPr>
        <xdr:cNvPr id="374" name="Straight Connector 373">
          <a:extLst>
            <a:ext uri="{FF2B5EF4-FFF2-40B4-BE49-F238E27FC236}">
              <a16:creationId xmlns:a16="http://schemas.microsoft.com/office/drawing/2014/main" id="{9D58F5A3-74D8-E14B-98EA-529EBD53EDB5}"/>
            </a:ext>
          </a:extLst>
        </xdr:cNvPr>
        <xdr:cNvCxnSpPr>
          <a:cxnSpLocks/>
        </xdr:cNvCxnSpPr>
      </xdr:nvCxnSpPr>
      <xdr:spPr>
        <a:xfrm flipV="1">
          <a:off x="30200600" y="12407900"/>
          <a:ext cx="3670300" cy="127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381000</xdr:colOff>
      <xdr:row>52</xdr:row>
      <xdr:rowOff>101600</xdr:rowOff>
    </xdr:from>
    <xdr:to>
      <xdr:col>46</xdr:col>
      <xdr:colOff>381000</xdr:colOff>
      <xdr:row>56</xdr:row>
      <xdr:rowOff>101600</xdr:rowOff>
    </xdr:to>
    <xdr:cxnSp macro="">
      <xdr:nvCxnSpPr>
        <xdr:cNvPr id="375" name="Straight Connector 374">
          <a:extLst>
            <a:ext uri="{FF2B5EF4-FFF2-40B4-BE49-F238E27FC236}">
              <a16:creationId xmlns:a16="http://schemas.microsoft.com/office/drawing/2014/main" id="{2CE5D974-9D7A-A84F-9AFE-7BA694D23ABD}"/>
            </a:ext>
          </a:extLst>
        </xdr:cNvPr>
        <xdr:cNvCxnSpPr/>
      </xdr:nvCxnSpPr>
      <xdr:spPr>
        <a:xfrm>
          <a:off x="17049750" y="4308475"/>
          <a:ext cx="0" cy="793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381000</xdr:colOff>
      <xdr:row>52</xdr:row>
      <xdr:rowOff>101600</xdr:rowOff>
    </xdr:from>
    <xdr:to>
      <xdr:col>47</xdr:col>
      <xdr:colOff>0</xdr:colOff>
      <xdr:row>52</xdr:row>
      <xdr:rowOff>101600</xdr:rowOff>
    </xdr:to>
    <xdr:cxnSp macro="">
      <xdr:nvCxnSpPr>
        <xdr:cNvPr id="376" name="Straight Connector 375">
          <a:extLst>
            <a:ext uri="{FF2B5EF4-FFF2-40B4-BE49-F238E27FC236}">
              <a16:creationId xmlns:a16="http://schemas.microsoft.com/office/drawing/2014/main" id="{ED95FA59-8D57-714E-B713-F1A2DE1A47E8}"/>
            </a:ext>
          </a:extLst>
        </xdr:cNvPr>
        <xdr:cNvCxnSpPr>
          <a:cxnSpLocks/>
        </xdr:cNvCxnSpPr>
      </xdr:nvCxnSpPr>
      <xdr:spPr>
        <a:xfrm>
          <a:off x="17049750" y="4308475"/>
          <a:ext cx="4524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368300</xdr:colOff>
      <xdr:row>56</xdr:row>
      <xdr:rowOff>114300</xdr:rowOff>
    </xdr:from>
    <xdr:to>
      <xdr:col>46</xdr:col>
      <xdr:colOff>812800</xdr:colOff>
      <xdr:row>56</xdr:row>
      <xdr:rowOff>114300</xdr:rowOff>
    </xdr:to>
    <xdr:cxnSp macro="">
      <xdr:nvCxnSpPr>
        <xdr:cNvPr id="377" name="Straight Connector 376">
          <a:extLst>
            <a:ext uri="{FF2B5EF4-FFF2-40B4-BE49-F238E27FC236}">
              <a16:creationId xmlns:a16="http://schemas.microsoft.com/office/drawing/2014/main" id="{BD4886FB-588A-B549-86FB-A97A24223111}"/>
            </a:ext>
          </a:extLst>
        </xdr:cNvPr>
        <xdr:cNvCxnSpPr>
          <a:cxnSpLocks/>
        </xdr:cNvCxnSpPr>
      </xdr:nvCxnSpPr>
      <xdr:spPr>
        <a:xfrm>
          <a:off x="17037050" y="5114925"/>
          <a:ext cx="4445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436558</xdr:colOff>
      <xdr:row>108</xdr:row>
      <xdr:rowOff>119064</xdr:rowOff>
    </xdr:from>
    <xdr:to>
      <xdr:col>23</xdr:col>
      <xdr:colOff>9520</xdr:colOff>
      <xdr:row>108</xdr:row>
      <xdr:rowOff>119064</xdr:rowOff>
    </xdr:to>
    <xdr:cxnSp macro="">
      <xdr:nvCxnSpPr>
        <xdr:cNvPr id="381" name="Straight Connector 380">
          <a:extLst>
            <a:ext uri="{FF2B5EF4-FFF2-40B4-BE49-F238E27FC236}">
              <a16:creationId xmlns:a16="http://schemas.microsoft.com/office/drawing/2014/main" id="{A693CE98-068A-0541-B1A5-8D14C6648CFB}"/>
            </a:ext>
          </a:extLst>
        </xdr:cNvPr>
        <xdr:cNvCxnSpPr>
          <a:cxnSpLocks/>
        </xdr:cNvCxnSpPr>
      </xdr:nvCxnSpPr>
      <xdr:spPr>
        <a:xfrm>
          <a:off x="5437183" y="17422814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396879</xdr:colOff>
      <xdr:row>108</xdr:row>
      <xdr:rowOff>138903</xdr:rowOff>
    </xdr:from>
    <xdr:to>
      <xdr:col>22</xdr:col>
      <xdr:colOff>401053</xdr:colOff>
      <xdr:row>133</xdr:row>
      <xdr:rowOff>133684</xdr:rowOff>
    </xdr:to>
    <xdr:cxnSp macro="">
      <xdr:nvCxnSpPr>
        <xdr:cNvPr id="382" name="Straight Connector 381">
          <a:extLst>
            <a:ext uri="{FF2B5EF4-FFF2-40B4-BE49-F238E27FC236}">
              <a16:creationId xmlns:a16="http://schemas.microsoft.com/office/drawing/2014/main" id="{F5ECAD3A-9F27-5644-937B-E5F7708676D8}"/>
            </a:ext>
          </a:extLst>
        </xdr:cNvPr>
        <xdr:cNvCxnSpPr/>
      </xdr:nvCxnSpPr>
      <xdr:spPr>
        <a:xfrm flipH="1" flipV="1">
          <a:off x="13765300" y="17451008"/>
          <a:ext cx="4174" cy="500793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396871</xdr:colOff>
      <xdr:row>133</xdr:row>
      <xdr:rowOff>119060</xdr:rowOff>
    </xdr:from>
    <xdr:to>
      <xdr:col>22</xdr:col>
      <xdr:colOff>803271</xdr:colOff>
      <xdr:row>133</xdr:row>
      <xdr:rowOff>119060</xdr:rowOff>
    </xdr:to>
    <xdr:cxnSp macro="">
      <xdr:nvCxnSpPr>
        <xdr:cNvPr id="385" name="Straight Connector 384">
          <a:extLst>
            <a:ext uri="{FF2B5EF4-FFF2-40B4-BE49-F238E27FC236}">
              <a16:creationId xmlns:a16="http://schemas.microsoft.com/office/drawing/2014/main" id="{EB6D7EAB-F0CE-AE45-AD30-0BE1BFFBB0C9}"/>
            </a:ext>
          </a:extLst>
        </xdr:cNvPr>
        <xdr:cNvCxnSpPr>
          <a:cxnSpLocks/>
        </xdr:cNvCxnSpPr>
      </xdr:nvCxnSpPr>
      <xdr:spPr>
        <a:xfrm>
          <a:off x="5397496" y="20002498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277816</xdr:colOff>
      <xdr:row>108</xdr:row>
      <xdr:rowOff>19847</xdr:rowOff>
    </xdr:from>
    <xdr:to>
      <xdr:col>22</xdr:col>
      <xdr:colOff>519116</xdr:colOff>
      <xdr:row>109</xdr:row>
      <xdr:rowOff>57947</xdr:rowOff>
    </xdr:to>
    <xdr:sp macro="" textlink="">
      <xdr:nvSpPr>
        <xdr:cNvPr id="386" name="Oval 385">
          <a:extLst>
            <a:ext uri="{FF2B5EF4-FFF2-40B4-BE49-F238E27FC236}">
              <a16:creationId xmlns:a16="http://schemas.microsoft.com/office/drawing/2014/main" id="{82E80D85-1B22-9B47-A915-FC3F8BB2654E}"/>
            </a:ext>
          </a:extLst>
        </xdr:cNvPr>
        <xdr:cNvSpPr/>
      </xdr:nvSpPr>
      <xdr:spPr>
        <a:xfrm flipV="1">
          <a:off x="5278441" y="17323597"/>
          <a:ext cx="241300" cy="236538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24</xdr:col>
      <xdr:colOff>39688</xdr:colOff>
      <xdr:row>108</xdr:row>
      <xdr:rowOff>114300</xdr:rowOff>
    </xdr:from>
    <xdr:to>
      <xdr:col>28</xdr:col>
      <xdr:colOff>431800</xdr:colOff>
      <xdr:row>108</xdr:row>
      <xdr:rowOff>119062</xdr:rowOff>
    </xdr:to>
    <xdr:cxnSp macro="">
      <xdr:nvCxnSpPr>
        <xdr:cNvPr id="479" name="Straight Connector 478">
          <a:extLst>
            <a:ext uri="{FF2B5EF4-FFF2-40B4-BE49-F238E27FC236}">
              <a16:creationId xmlns:a16="http://schemas.microsoft.com/office/drawing/2014/main" id="{9C674B49-3F18-C646-A5A6-66FA3EF1DF69}"/>
            </a:ext>
          </a:extLst>
        </xdr:cNvPr>
        <xdr:cNvCxnSpPr>
          <a:cxnSpLocks/>
        </xdr:cNvCxnSpPr>
      </xdr:nvCxnSpPr>
      <xdr:spPr>
        <a:xfrm flipV="1">
          <a:off x="15041563" y="17914144"/>
          <a:ext cx="3725862" cy="476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292100</xdr:colOff>
      <xdr:row>107</xdr:row>
      <xdr:rowOff>190500</xdr:rowOff>
    </xdr:from>
    <xdr:to>
      <xdr:col>28</xdr:col>
      <xdr:colOff>533400</xdr:colOff>
      <xdr:row>109</xdr:row>
      <xdr:rowOff>25400</xdr:rowOff>
    </xdr:to>
    <xdr:sp macro="" textlink="">
      <xdr:nvSpPr>
        <xdr:cNvPr id="480" name="Oval 479">
          <a:extLst>
            <a:ext uri="{FF2B5EF4-FFF2-40B4-BE49-F238E27FC236}">
              <a16:creationId xmlns:a16="http://schemas.microsoft.com/office/drawing/2014/main" id="{48C573D6-E00B-A147-9137-284632537465}"/>
            </a:ext>
          </a:extLst>
        </xdr:cNvPr>
        <xdr:cNvSpPr/>
      </xdr:nvSpPr>
      <xdr:spPr>
        <a:xfrm flipV="1">
          <a:off x="10293350" y="5786438"/>
          <a:ext cx="241300" cy="231775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28</xdr:col>
      <xdr:colOff>412750</xdr:colOff>
      <xdr:row>99</xdr:row>
      <xdr:rowOff>88902</xdr:rowOff>
    </xdr:from>
    <xdr:to>
      <xdr:col>28</xdr:col>
      <xdr:colOff>419099</xdr:colOff>
      <xdr:row>107</xdr:row>
      <xdr:rowOff>190501</xdr:rowOff>
    </xdr:to>
    <xdr:cxnSp macro="">
      <xdr:nvCxnSpPr>
        <xdr:cNvPr id="481" name="Curved Connector 480">
          <a:extLst>
            <a:ext uri="{FF2B5EF4-FFF2-40B4-BE49-F238E27FC236}">
              <a16:creationId xmlns:a16="http://schemas.microsoft.com/office/drawing/2014/main" id="{A526562B-C72D-1446-B88D-9060CA62F645}"/>
            </a:ext>
          </a:extLst>
        </xdr:cNvPr>
        <xdr:cNvCxnSpPr>
          <a:stCxn id="480" idx="4"/>
        </xdr:cNvCxnSpPr>
      </xdr:nvCxnSpPr>
      <xdr:spPr>
        <a:xfrm rot="5400000" flipH="1" flipV="1">
          <a:off x="17412432" y="21775373"/>
          <a:ext cx="1827497" cy="6349"/>
        </a:xfrm>
        <a:prstGeom prst="curved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412750</xdr:colOff>
      <xdr:row>109</xdr:row>
      <xdr:rowOff>38100</xdr:rowOff>
    </xdr:from>
    <xdr:to>
      <xdr:col>28</xdr:col>
      <xdr:colOff>419100</xdr:colOff>
      <xdr:row>112</xdr:row>
      <xdr:rowOff>101600</xdr:rowOff>
    </xdr:to>
    <xdr:cxnSp macro="">
      <xdr:nvCxnSpPr>
        <xdr:cNvPr id="482" name="Curved Connector 481">
          <a:extLst>
            <a:ext uri="{FF2B5EF4-FFF2-40B4-BE49-F238E27FC236}">
              <a16:creationId xmlns:a16="http://schemas.microsoft.com/office/drawing/2014/main" id="{2D7E5C12-62EF-A14F-BA9F-964895C50D8C}"/>
            </a:ext>
          </a:extLst>
        </xdr:cNvPr>
        <xdr:cNvCxnSpPr/>
      </xdr:nvCxnSpPr>
      <xdr:spPr>
        <a:xfrm rot="16200000" flipV="1">
          <a:off x="10087769" y="6357144"/>
          <a:ext cx="658812" cy="6350"/>
        </a:xfrm>
        <a:prstGeom prst="curved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419100</xdr:colOff>
      <xdr:row>99</xdr:row>
      <xdr:rowOff>88900</xdr:rowOff>
    </xdr:from>
    <xdr:to>
      <xdr:col>29</xdr:col>
      <xdr:colOff>0</xdr:colOff>
      <xdr:row>99</xdr:row>
      <xdr:rowOff>88900</xdr:rowOff>
    </xdr:to>
    <xdr:cxnSp macro="">
      <xdr:nvCxnSpPr>
        <xdr:cNvPr id="483" name="Straight Connector 482">
          <a:extLst>
            <a:ext uri="{FF2B5EF4-FFF2-40B4-BE49-F238E27FC236}">
              <a16:creationId xmlns:a16="http://schemas.microsoft.com/office/drawing/2014/main" id="{13D26FB1-4B95-B643-BD2A-732FFD5429CA}"/>
            </a:ext>
          </a:extLst>
        </xdr:cNvPr>
        <xdr:cNvCxnSpPr>
          <a:cxnSpLocks/>
        </xdr:cNvCxnSpPr>
      </xdr:nvCxnSpPr>
      <xdr:spPr>
        <a:xfrm>
          <a:off x="10420350" y="5089525"/>
          <a:ext cx="4143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419100</xdr:colOff>
      <xdr:row>112</xdr:row>
      <xdr:rowOff>101600</xdr:rowOff>
    </xdr:from>
    <xdr:to>
      <xdr:col>29</xdr:col>
      <xdr:colOff>0</xdr:colOff>
      <xdr:row>112</xdr:row>
      <xdr:rowOff>101600</xdr:rowOff>
    </xdr:to>
    <xdr:cxnSp macro="">
      <xdr:nvCxnSpPr>
        <xdr:cNvPr id="484" name="Straight Connector 483">
          <a:extLst>
            <a:ext uri="{FF2B5EF4-FFF2-40B4-BE49-F238E27FC236}">
              <a16:creationId xmlns:a16="http://schemas.microsoft.com/office/drawing/2014/main" id="{59001321-B982-6942-B69C-AA6B9AF02B13}"/>
            </a:ext>
          </a:extLst>
        </xdr:cNvPr>
        <xdr:cNvCxnSpPr>
          <a:cxnSpLocks/>
        </xdr:cNvCxnSpPr>
      </xdr:nvCxnSpPr>
      <xdr:spPr>
        <a:xfrm>
          <a:off x="10420350" y="6689725"/>
          <a:ext cx="4143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802106</xdr:colOff>
      <xdr:row>99</xdr:row>
      <xdr:rowOff>100264</xdr:rowOff>
    </xdr:from>
    <xdr:to>
      <xdr:col>34</xdr:col>
      <xdr:colOff>393700</xdr:colOff>
      <xdr:row>99</xdr:row>
      <xdr:rowOff>101600</xdr:rowOff>
    </xdr:to>
    <xdr:cxnSp macro="">
      <xdr:nvCxnSpPr>
        <xdr:cNvPr id="485" name="Straight Connector 484">
          <a:extLst>
            <a:ext uri="{FF2B5EF4-FFF2-40B4-BE49-F238E27FC236}">
              <a16:creationId xmlns:a16="http://schemas.microsoft.com/office/drawing/2014/main" id="{5C4377B7-EDE5-5F4E-90A9-107CE5B0AE86}"/>
            </a:ext>
          </a:extLst>
        </xdr:cNvPr>
        <xdr:cNvCxnSpPr>
          <a:cxnSpLocks/>
        </xdr:cNvCxnSpPr>
      </xdr:nvCxnSpPr>
      <xdr:spPr>
        <a:xfrm>
          <a:off x="20019211" y="16209211"/>
          <a:ext cx="3769226" cy="133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393700</xdr:colOff>
      <xdr:row>97</xdr:row>
      <xdr:rowOff>88900</xdr:rowOff>
    </xdr:from>
    <xdr:to>
      <xdr:col>34</xdr:col>
      <xdr:colOff>423333</xdr:colOff>
      <xdr:row>104</xdr:row>
      <xdr:rowOff>130256</xdr:rowOff>
    </xdr:to>
    <xdr:cxnSp macro="">
      <xdr:nvCxnSpPr>
        <xdr:cNvPr id="486" name="Straight Connector 485">
          <a:extLst>
            <a:ext uri="{FF2B5EF4-FFF2-40B4-BE49-F238E27FC236}">
              <a16:creationId xmlns:a16="http://schemas.microsoft.com/office/drawing/2014/main" id="{0909878D-30B1-0045-B0A7-F575712724D8}"/>
            </a:ext>
          </a:extLst>
        </xdr:cNvPr>
        <xdr:cNvCxnSpPr/>
      </xdr:nvCxnSpPr>
      <xdr:spPr>
        <a:xfrm>
          <a:off x="23188572" y="20408900"/>
          <a:ext cx="29633" cy="160443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393700</xdr:colOff>
      <xdr:row>97</xdr:row>
      <xdr:rowOff>88900</xdr:rowOff>
    </xdr:from>
    <xdr:to>
      <xdr:col>34</xdr:col>
      <xdr:colOff>800100</xdr:colOff>
      <xdr:row>97</xdr:row>
      <xdr:rowOff>88900</xdr:rowOff>
    </xdr:to>
    <xdr:cxnSp macro="">
      <xdr:nvCxnSpPr>
        <xdr:cNvPr id="487" name="Straight Connector 486">
          <a:extLst>
            <a:ext uri="{FF2B5EF4-FFF2-40B4-BE49-F238E27FC236}">
              <a16:creationId xmlns:a16="http://schemas.microsoft.com/office/drawing/2014/main" id="{96909F97-4E83-4A4B-8F21-AC8A40E5C1E3}"/>
            </a:ext>
          </a:extLst>
        </xdr:cNvPr>
        <xdr:cNvCxnSpPr>
          <a:cxnSpLocks/>
        </xdr:cNvCxnSpPr>
      </xdr:nvCxnSpPr>
      <xdr:spPr>
        <a:xfrm>
          <a:off x="12061825" y="469265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393700</xdr:colOff>
      <xdr:row>104</xdr:row>
      <xdr:rowOff>88900</xdr:rowOff>
    </xdr:from>
    <xdr:to>
      <xdr:col>34</xdr:col>
      <xdr:colOff>800100</xdr:colOff>
      <xdr:row>104</xdr:row>
      <xdr:rowOff>88900</xdr:rowOff>
    </xdr:to>
    <xdr:cxnSp macro="">
      <xdr:nvCxnSpPr>
        <xdr:cNvPr id="488" name="Straight Connector 487">
          <a:extLst>
            <a:ext uri="{FF2B5EF4-FFF2-40B4-BE49-F238E27FC236}">
              <a16:creationId xmlns:a16="http://schemas.microsoft.com/office/drawing/2014/main" id="{E51FA779-2487-3F46-B3C7-C09C76484A83}"/>
            </a:ext>
          </a:extLst>
        </xdr:cNvPr>
        <xdr:cNvCxnSpPr>
          <a:cxnSpLocks/>
        </xdr:cNvCxnSpPr>
      </xdr:nvCxnSpPr>
      <xdr:spPr>
        <a:xfrm>
          <a:off x="12061825" y="548640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266700</xdr:colOff>
      <xdr:row>98</xdr:row>
      <xdr:rowOff>165100</xdr:rowOff>
    </xdr:from>
    <xdr:to>
      <xdr:col>34</xdr:col>
      <xdr:colOff>508000</xdr:colOff>
      <xdr:row>100</xdr:row>
      <xdr:rowOff>0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FB21664B-C905-824C-9522-CFBA1A03DC4E}"/>
            </a:ext>
          </a:extLst>
        </xdr:cNvPr>
        <xdr:cNvSpPr/>
      </xdr:nvSpPr>
      <xdr:spPr>
        <a:xfrm flipV="1">
          <a:off x="11934825" y="4967288"/>
          <a:ext cx="241300" cy="231775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36</xdr:col>
      <xdr:colOff>30976</xdr:colOff>
      <xdr:row>97</xdr:row>
      <xdr:rowOff>108415</xdr:rowOff>
    </xdr:from>
    <xdr:to>
      <xdr:col>40</xdr:col>
      <xdr:colOff>292100</xdr:colOff>
      <xdr:row>97</xdr:row>
      <xdr:rowOff>123903</xdr:rowOff>
    </xdr:to>
    <xdr:cxnSp macro="">
      <xdr:nvCxnSpPr>
        <xdr:cNvPr id="490" name="Straight Connector 489">
          <a:extLst>
            <a:ext uri="{FF2B5EF4-FFF2-40B4-BE49-F238E27FC236}">
              <a16:creationId xmlns:a16="http://schemas.microsoft.com/office/drawing/2014/main" id="{F4419E4B-35DB-F540-BBC5-C6ED06D7FD71}"/>
            </a:ext>
          </a:extLst>
        </xdr:cNvPr>
        <xdr:cNvCxnSpPr>
          <a:cxnSpLocks/>
          <a:endCxn id="494" idx="1"/>
        </xdr:cNvCxnSpPr>
      </xdr:nvCxnSpPr>
      <xdr:spPr>
        <a:xfrm flipV="1">
          <a:off x="25121220" y="21605488"/>
          <a:ext cx="3606490" cy="1548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404928</xdr:colOff>
      <xdr:row>91</xdr:row>
      <xdr:rowOff>92029</xdr:rowOff>
    </xdr:from>
    <xdr:to>
      <xdr:col>40</xdr:col>
      <xdr:colOff>406400</xdr:colOff>
      <xdr:row>99</xdr:row>
      <xdr:rowOff>101600</xdr:rowOff>
    </xdr:to>
    <xdr:cxnSp macro="">
      <xdr:nvCxnSpPr>
        <xdr:cNvPr id="491" name="Straight Connector 490">
          <a:extLst>
            <a:ext uri="{FF2B5EF4-FFF2-40B4-BE49-F238E27FC236}">
              <a16:creationId xmlns:a16="http://schemas.microsoft.com/office/drawing/2014/main" id="{2053BEDC-E2C5-8646-B97E-914957B095F7}"/>
            </a:ext>
          </a:extLst>
        </xdr:cNvPr>
        <xdr:cNvCxnSpPr/>
      </xdr:nvCxnSpPr>
      <xdr:spPr>
        <a:xfrm>
          <a:off x="25252754" y="16068261"/>
          <a:ext cx="1472" cy="17397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406400</xdr:colOff>
      <xdr:row>91</xdr:row>
      <xdr:rowOff>101600</xdr:rowOff>
    </xdr:from>
    <xdr:to>
      <xdr:col>40</xdr:col>
      <xdr:colOff>812800</xdr:colOff>
      <xdr:row>91</xdr:row>
      <xdr:rowOff>101600</xdr:rowOff>
    </xdr:to>
    <xdr:cxnSp macro="">
      <xdr:nvCxnSpPr>
        <xdr:cNvPr id="492" name="Straight Connector 491">
          <a:extLst>
            <a:ext uri="{FF2B5EF4-FFF2-40B4-BE49-F238E27FC236}">
              <a16:creationId xmlns:a16="http://schemas.microsoft.com/office/drawing/2014/main" id="{E93213EB-E67F-8A4C-95C1-98A08DDDCCD8}"/>
            </a:ext>
          </a:extLst>
        </xdr:cNvPr>
        <xdr:cNvCxnSpPr>
          <a:cxnSpLocks/>
        </xdr:cNvCxnSpPr>
      </xdr:nvCxnSpPr>
      <xdr:spPr>
        <a:xfrm>
          <a:off x="13741400" y="4308475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419100</xdr:colOff>
      <xdr:row>99</xdr:row>
      <xdr:rowOff>101600</xdr:rowOff>
    </xdr:from>
    <xdr:to>
      <xdr:col>41</xdr:col>
      <xdr:colOff>0</xdr:colOff>
      <xdr:row>99</xdr:row>
      <xdr:rowOff>101600</xdr:rowOff>
    </xdr:to>
    <xdr:cxnSp macro="">
      <xdr:nvCxnSpPr>
        <xdr:cNvPr id="493" name="Straight Connector 492">
          <a:extLst>
            <a:ext uri="{FF2B5EF4-FFF2-40B4-BE49-F238E27FC236}">
              <a16:creationId xmlns:a16="http://schemas.microsoft.com/office/drawing/2014/main" id="{6FF7DF89-0A87-9C40-A1F8-6298366B23FC}"/>
            </a:ext>
          </a:extLst>
        </xdr:cNvPr>
        <xdr:cNvCxnSpPr>
          <a:cxnSpLocks/>
        </xdr:cNvCxnSpPr>
      </xdr:nvCxnSpPr>
      <xdr:spPr>
        <a:xfrm>
          <a:off x="13754100" y="5102225"/>
          <a:ext cx="4143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292100</xdr:colOff>
      <xdr:row>97</xdr:row>
      <xdr:rowOff>0</xdr:rowOff>
    </xdr:from>
    <xdr:to>
      <xdr:col>40</xdr:col>
      <xdr:colOff>533400</xdr:colOff>
      <xdr:row>98</xdr:row>
      <xdr:rowOff>0</xdr:rowOff>
    </xdr:to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40B6960-0068-C345-A8A9-E6B9F9C236C9}"/>
            </a:ext>
          </a:extLst>
        </xdr:cNvPr>
        <xdr:cNvSpPr/>
      </xdr:nvSpPr>
      <xdr:spPr>
        <a:xfrm>
          <a:off x="13627100" y="4603750"/>
          <a:ext cx="241300" cy="1984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406400</xdr:colOff>
      <xdr:row>97</xdr:row>
      <xdr:rowOff>101600</xdr:rowOff>
    </xdr:from>
    <xdr:to>
      <xdr:col>45</xdr:col>
      <xdr:colOff>406400</xdr:colOff>
      <xdr:row>101</xdr:row>
      <xdr:rowOff>101600</xdr:rowOff>
    </xdr:to>
    <xdr:cxnSp macro="">
      <xdr:nvCxnSpPr>
        <xdr:cNvPr id="495" name="Straight Connector 494">
          <a:extLst>
            <a:ext uri="{FF2B5EF4-FFF2-40B4-BE49-F238E27FC236}">
              <a16:creationId xmlns:a16="http://schemas.microsoft.com/office/drawing/2014/main" id="{EA28A475-1FDC-A747-896A-A2F397447EEC}"/>
            </a:ext>
          </a:extLst>
        </xdr:cNvPr>
        <xdr:cNvCxnSpPr/>
      </xdr:nvCxnSpPr>
      <xdr:spPr>
        <a:xfrm>
          <a:off x="15408275" y="4705350"/>
          <a:ext cx="0" cy="793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99</xdr:row>
      <xdr:rowOff>101600</xdr:rowOff>
    </xdr:from>
    <xdr:to>
      <xdr:col>45</xdr:col>
      <xdr:colOff>406400</xdr:colOff>
      <xdr:row>99</xdr:row>
      <xdr:rowOff>114300</xdr:rowOff>
    </xdr:to>
    <xdr:cxnSp macro="">
      <xdr:nvCxnSpPr>
        <xdr:cNvPr id="496" name="Straight Connector 495">
          <a:extLst>
            <a:ext uri="{FF2B5EF4-FFF2-40B4-BE49-F238E27FC236}">
              <a16:creationId xmlns:a16="http://schemas.microsoft.com/office/drawing/2014/main" id="{9891F946-EFF9-A140-A73E-CAB3D33E96AE}"/>
            </a:ext>
          </a:extLst>
        </xdr:cNvPr>
        <xdr:cNvCxnSpPr>
          <a:cxnSpLocks/>
        </xdr:cNvCxnSpPr>
      </xdr:nvCxnSpPr>
      <xdr:spPr>
        <a:xfrm>
          <a:off x="30175200" y="22250400"/>
          <a:ext cx="2921000" cy="127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406400</xdr:colOff>
      <xdr:row>97</xdr:row>
      <xdr:rowOff>101600</xdr:rowOff>
    </xdr:from>
    <xdr:to>
      <xdr:col>45</xdr:col>
      <xdr:colOff>812800</xdr:colOff>
      <xdr:row>97</xdr:row>
      <xdr:rowOff>101600</xdr:rowOff>
    </xdr:to>
    <xdr:cxnSp macro="">
      <xdr:nvCxnSpPr>
        <xdr:cNvPr id="497" name="Straight Connector 496">
          <a:extLst>
            <a:ext uri="{FF2B5EF4-FFF2-40B4-BE49-F238E27FC236}">
              <a16:creationId xmlns:a16="http://schemas.microsoft.com/office/drawing/2014/main" id="{32CC24DA-0342-5645-A3B9-07C6865BCC73}"/>
            </a:ext>
          </a:extLst>
        </xdr:cNvPr>
        <xdr:cNvCxnSpPr>
          <a:cxnSpLocks/>
        </xdr:cNvCxnSpPr>
      </xdr:nvCxnSpPr>
      <xdr:spPr>
        <a:xfrm>
          <a:off x="15408275" y="470535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406400</xdr:colOff>
      <xdr:row>101</xdr:row>
      <xdr:rowOff>88900</xdr:rowOff>
    </xdr:from>
    <xdr:to>
      <xdr:col>45</xdr:col>
      <xdr:colOff>812800</xdr:colOff>
      <xdr:row>101</xdr:row>
      <xdr:rowOff>88900</xdr:rowOff>
    </xdr:to>
    <xdr:cxnSp macro="">
      <xdr:nvCxnSpPr>
        <xdr:cNvPr id="498" name="Straight Connector 497">
          <a:extLst>
            <a:ext uri="{FF2B5EF4-FFF2-40B4-BE49-F238E27FC236}">
              <a16:creationId xmlns:a16="http://schemas.microsoft.com/office/drawing/2014/main" id="{6D8C0C5F-8DA9-FF4A-9963-890E34843E8C}"/>
            </a:ext>
          </a:extLst>
        </xdr:cNvPr>
        <xdr:cNvCxnSpPr>
          <a:cxnSpLocks/>
        </xdr:cNvCxnSpPr>
      </xdr:nvCxnSpPr>
      <xdr:spPr>
        <a:xfrm>
          <a:off x="15408275" y="548640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292100</xdr:colOff>
      <xdr:row>99</xdr:row>
      <xdr:rowOff>0</xdr:rowOff>
    </xdr:from>
    <xdr:to>
      <xdr:col>45</xdr:col>
      <xdr:colOff>533400</xdr:colOff>
      <xdr:row>100</xdr:row>
      <xdr:rowOff>38100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50DDB9B4-727F-5846-96DE-8D1D4C1F6B67}"/>
            </a:ext>
          </a:extLst>
        </xdr:cNvPr>
        <xdr:cNvSpPr/>
      </xdr:nvSpPr>
      <xdr:spPr>
        <a:xfrm flipV="1">
          <a:off x="15293975" y="5000625"/>
          <a:ext cx="241300" cy="236538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49</xdr:col>
      <xdr:colOff>0</xdr:colOff>
      <xdr:row>97</xdr:row>
      <xdr:rowOff>114300</xdr:rowOff>
    </xdr:from>
    <xdr:to>
      <xdr:col>49</xdr:col>
      <xdr:colOff>368300</xdr:colOff>
      <xdr:row>97</xdr:row>
      <xdr:rowOff>114300</xdr:rowOff>
    </xdr:to>
    <xdr:cxnSp macro="">
      <xdr:nvCxnSpPr>
        <xdr:cNvPr id="500" name="Straight Connector 499">
          <a:extLst>
            <a:ext uri="{FF2B5EF4-FFF2-40B4-BE49-F238E27FC236}">
              <a16:creationId xmlns:a16="http://schemas.microsoft.com/office/drawing/2014/main" id="{F22E4661-3A21-DB4B-8579-9425BCFD7AC9}"/>
            </a:ext>
          </a:extLst>
        </xdr:cNvPr>
        <xdr:cNvCxnSpPr>
          <a:cxnSpLocks/>
        </xdr:cNvCxnSpPr>
      </xdr:nvCxnSpPr>
      <xdr:spPr>
        <a:xfrm>
          <a:off x="16668750" y="4718050"/>
          <a:ext cx="3683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381000</xdr:colOff>
      <xdr:row>95</xdr:row>
      <xdr:rowOff>101600</xdr:rowOff>
    </xdr:from>
    <xdr:to>
      <xdr:col>49</xdr:col>
      <xdr:colOff>381000</xdr:colOff>
      <xdr:row>99</xdr:row>
      <xdr:rowOff>101600</xdr:rowOff>
    </xdr:to>
    <xdr:cxnSp macro="">
      <xdr:nvCxnSpPr>
        <xdr:cNvPr id="501" name="Straight Connector 500">
          <a:extLst>
            <a:ext uri="{FF2B5EF4-FFF2-40B4-BE49-F238E27FC236}">
              <a16:creationId xmlns:a16="http://schemas.microsoft.com/office/drawing/2014/main" id="{EBF7D043-5237-6643-97AD-A3B79D1B8325}"/>
            </a:ext>
          </a:extLst>
        </xdr:cNvPr>
        <xdr:cNvCxnSpPr/>
      </xdr:nvCxnSpPr>
      <xdr:spPr>
        <a:xfrm>
          <a:off x="17049750" y="4308475"/>
          <a:ext cx="0" cy="793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381000</xdr:colOff>
      <xdr:row>95</xdr:row>
      <xdr:rowOff>101600</xdr:rowOff>
    </xdr:from>
    <xdr:to>
      <xdr:col>50</xdr:col>
      <xdr:colOff>0</xdr:colOff>
      <xdr:row>95</xdr:row>
      <xdr:rowOff>101600</xdr:rowOff>
    </xdr:to>
    <xdr:cxnSp macro="">
      <xdr:nvCxnSpPr>
        <xdr:cNvPr id="502" name="Straight Connector 501">
          <a:extLst>
            <a:ext uri="{FF2B5EF4-FFF2-40B4-BE49-F238E27FC236}">
              <a16:creationId xmlns:a16="http://schemas.microsoft.com/office/drawing/2014/main" id="{F1DCF61C-41D7-354A-8BAE-2CEA533C19C6}"/>
            </a:ext>
          </a:extLst>
        </xdr:cNvPr>
        <xdr:cNvCxnSpPr>
          <a:cxnSpLocks/>
        </xdr:cNvCxnSpPr>
      </xdr:nvCxnSpPr>
      <xdr:spPr>
        <a:xfrm>
          <a:off x="17049750" y="4308475"/>
          <a:ext cx="4524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368300</xdr:colOff>
      <xdr:row>99</xdr:row>
      <xdr:rowOff>114300</xdr:rowOff>
    </xdr:from>
    <xdr:to>
      <xdr:col>49</xdr:col>
      <xdr:colOff>812800</xdr:colOff>
      <xdr:row>99</xdr:row>
      <xdr:rowOff>114300</xdr:rowOff>
    </xdr:to>
    <xdr:cxnSp macro="">
      <xdr:nvCxnSpPr>
        <xdr:cNvPr id="503" name="Straight Connector 502">
          <a:extLst>
            <a:ext uri="{FF2B5EF4-FFF2-40B4-BE49-F238E27FC236}">
              <a16:creationId xmlns:a16="http://schemas.microsoft.com/office/drawing/2014/main" id="{900AB93D-9EE4-CE4B-BE43-B4E8EB36F772}"/>
            </a:ext>
          </a:extLst>
        </xdr:cNvPr>
        <xdr:cNvCxnSpPr>
          <a:cxnSpLocks/>
        </xdr:cNvCxnSpPr>
      </xdr:nvCxnSpPr>
      <xdr:spPr>
        <a:xfrm>
          <a:off x="17037050" y="5114925"/>
          <a:ext cx="4445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266700</xdr:colOff>
      <xdr:row>97</xdr:row>
      <xdr:rowOff>0</xdr:rowOff>
    </xdr:from>
    <xdr:to>
      <xdr:col>49</xdr:col>
      <xdr:colOff>508000</xdr:colOff>
      <xdr:row>98</xdr:row>
      <xdr:rowOff>38100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113921FB-ABB2-3E42-95C3-ACEC63167DF5}"/>
            </a:ext>
          </a:extLst>
        </xdr:cNvPr>
        <xdr:cNvSpPr/>
      </xdr:nvSpPr>
      <xdr:spPr>
        <a:xfrm flipV="1">
          <a:off x="16935450" y="4603750"/>
          <a:ext cx="241300" cy="236538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66842</xdr:colOff>
      <xdr:row>112</xdr:row>
      <xdr:rowOff>82550</xdr:rowOff>
    </xdr:from>
    <xdr:to>
      <xdr:col>34</xdr:col>
      <xdr:colOff>266700</xdr:colOff>
      <xdr:row>112</xdr:row>
      <xdr:rowOff>100263</xdr:rowOff>
    </xdr:to>
    <xdr:cxnSp macro="">
      <xdr:nvCxnSpPr>
        <xdr:cNvPr id="505" name="Straight Connector 504">
          <a:extLst>
            <a:ext uri="{FF2B5EF4-FFF2-40B4-BE49-F238E27FC236}">
              <a16:creationId xmlns:a16="http://schemas.microsoft.com/office/drawing/2014/main" id="{B475D8AC-4E23-8A45-8FF5-76D0CCA0EF25}"/>
            </a:ext>
          </a:extLst>
        </xdr:cNvPr>
        <xdr:cNvCxnSpPr>
          <a:cxnSpLocks/>
          <a:endCxn id="509" idx="2"/>
        </xdr:cNvCxnSpPr>
      </xdr:nvCxnSpPr>
      <xdr:spPr>
        <a:xfrm flipV="1">
          <a:off x="20119474" y="17795708"/>
          <a:ext cx="3541963" cy="177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393700</xdr:colOff>
      <xdr:row>110</xdr:row>
      <xdr:rowOff>88900</xdr:rowOff>
    </xdr:from>
    <xdr:to>
      <xdr:col>34</xdr:col>
      <xdr:colOff>406400</xdr:colOff>
      <xdr:row>123</xdr:row>
      <xdr:rowOff>101600</xdr:rowOff>
    </xdr:to>
    <xdr:cxnSp macro="">
      <xdr:nvCxnSpPr>
        <xdr:cNvPr id="506" name="Straight Connector 505">
          <a:extLst>
            <a:ext uri="{FF2B5EF4-FFF2-40B4-BE49-F238E27FC236}">
              <a16:creationId xmlns:a16="http://schemas.microsoft.com/office/drawing/2014/main" id="{36EF9217-1BDF-9541-849E-3C8C45D64ECD}"/>
            </a:ext>
          </a:extLst>
        </xdr:cNvPr>
        <xdr:cNvCxnSpPr/>
      </xdr:nvCxnSpPr>
      <xdr:spPr>
        <a:xfrm>
          <a:off x="23863300" y="19621500"/>
          <a:ext cx="12700" cy="29083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393700</xdr:colOff>
      <xdr:row>110</xdr:row>
      <xdr:rowOff>88900</xdr:rowOff>
    </xdr:from>
    <xdr:to>
      <xdr:col>34</xdr:col>
      <xdr:colOff>800100</xdr:colOff>
      <xdr:row>110</xdr:row>
      <xdr:rowOff>88900</xdr:rowOff>
    </xdr:to>
    <xdr:cxnSp macro="">
      <xdr:nvCxnSpPr>
        <xdr:cNvPr id="507" name="Straight Connector 506">
          <a:extLst>
            <a:ext uri="{FF2B5EF4-FFF2-40B4-BE49-F238E27FC236}">
              <a16:creationId xmlns:a16="http://schemas.microsoft.com/office/drawing/2014/main" id="{D25C43DB-7A66-3842-91C0-2EF40F8A8617}"/>
            </a:ext>
          </a:extLst>
        </xdr:cNvPr>
        <xdr:cNvCxnSpPr>
          <a:cxnSpLocks/>
        </xdr:cNvCxnSpPr>
      </xdr:nvCxnSpPr>
      <xdr:spPr>
        <a:xfrm>
          <a:off x="12061825" y="628015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393700</xdr:colOff>
      <xdr:row>123</xdr:row>
      <xdr:rowOff>88900</xdr:rowOff>
    </xdr:from>
    <xdr:to>
      <xdr:col>34</xdr:col>
      <xdr:colOff>800100</xdr:colOff>
      <xdr:row>123</xdr:row>
      <xdr:rowOff>88900</xdr:rowOff>
    </xdr:to>
    <xdr:cxnSp macro="">
      <xdr:nvCxnSpPr>
        <xdr:cNvPr id="508" name="Straight Connector 507">
          <a:extLst>
            <a:ext uri="{FF2B5EF4-FFF2-40B4-BE49-F238E27FC236}">
              <a16:creationId xmlns:a16="http://schemas.microsoft.com/office/drawing/2014/main" id="{3E1804C3-C755-9543-AA24-047FCF913F4F}"/>
            </a:ext>
          </a:extLst>
        </xdr:cNvPr>
        <xdr:cNvCxnSpPr>
          <a:cxnSpLocks/>
        </xdr:cNvCxnSpPr>
      </xdr:nvCxnSpPr>
      <xdr:spPr>
        <a:xfrm>
          <a:off x="12061825" y="707390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266700</xdr:colOff>
      <xdr:row>111</xdr:row>
      <xdr:rowOff>165100</xdr:rowOff>
    </xdr:from>
    <xdr:to>
      <xdr:col>34</xdr:col>
      <xdr:colOff>508000</xdr:colOff>
      <xdr:row>113</xdr:row>
      <xdr:rowOff>0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0E5FC517-5143-E748-BC9D-2766ED386DD6}"/>
            </a:ext>
          </a:extLst>
        </xdr:cNvPr>
        <xdr:cNvSpPr/>
      </xdr:nvSpPr>
      <xdr:spPr>
        <a:xfrm flipV="1">
          <a:off x="11934825" y="6554788"/>
          <a:ext cx="241300" cy="231775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36</xdr:col>
      <xdr:colOff>30976</xdr:colOff>
      <xdr:row>110</xdr:row>
      <xdr:rowOff>114300</xdr:rowOff>
    </xdr:from>
    <xdr:to>
      <xdr:col>40</xdr:col>
      <xdr:colOff>406400</xdr:colOff>
      <xdr:row>110</xdr:row>
      <xdr:rowOff>123902</xdr:rowOff>
    </xdr:to>
    <xdr:cxnSp macro="">
      <xdr:nvCxnSpPr>
        <xdr:cNvPr id="510" name="Straight Connector 509">
          <a:extLst>
            <a:ext uri="{FF2B5EF4-FFF2-40B4-BE49-F238E27FC236}">
              <a16:creationId xmlns:a16="http://schemas.microsoft.com/office/drawing/2014/main" id="{18F98DB8-BFEC-A546-B642-03DA4EAC20AB}"/>
            </a:ext>
          </a:extLst>
        </xdr:cNvPr>
        <xdr:cNvCxnSpPr>
          <a:cxnSpLocks/>
        </xdr:cNvCxnSpPr>
      </xdr:nvCxnSpPr>
      <xdr:spPr>
        <a:xfrm flipV="1">
          <a:off x="25121220" y="24430154"/>
          <a:ext cx="3720790" cy="960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406400</xdr:colOff>
      <xdr:row>108</xdr:row>
      <xdr:rowOff>101600</xdr:rowOff>
    </xdr:from>
    <xdr:to>
      <xdr:col>40</xdr:col>
      <xdr:colOff>431800</xdr:colOff>
      <xdr:row>116</xdr:row>
      <xdr:rowOff>101600</xdr:rowOff>
    </xdr:to>
    <xdr:cxnSp macro="">
      <xdr:nvCxnSpPr>
        <xdr:cNvPr id="511" name="Straight Connector 510">
          <a:extLst>
            <a:ext uri="{FF2B5EF4-FFF2-40B4-BE49-F238E27FC236}">
              <a16:creationId xmlns:a16="http://schemas.microsoft.com/office/drawing/2014/main" id="{FD851475-759E-CB4E-9BD6-D53C1CF2C6B8}"/>
            </a:ext>
          </a:extLst>
        </xdr:cNvPr>
        <xdr:cNvCxnSpPr/>
      </xdr:nvCxnSpPr>
      <xdr:spPr>
        <a:xfrm>
          <a:off x="25552400" y="19177000"/>
          <a:ext cx="25400" cy="1828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406400</xdr:colOff>
      <xdr:row>108</xdr:row>
      <xdr:rowOff>101600</xdr:rowOff>
    </xdr:from>
    <xdr:to>
      <xdr:col>40</xdr:col>
      <xdr:colOff>812800</xdr:colOff>
      <xdr:row>108</xdr:row>
      <xdr:rowOff>101600</xdr:rowOff>
    </xdr:to>
    <xdr:cxnSp macro="">
      <xdr:nvCxnSpPr>
        <xdr:cNvPr id="512" name="Straight Connector 511">
          <a:extLst>
            <a:ext uri="{FF2B5EF4-FFF2-40B4-BE49-F238E27FC236}">
              <a16:creationId xmlns:a16="http://schemas.microsoft.com/office/drawing/2014/main" id="{F8FDFD63-1843-2C44-8B0B-2F9233FF17D8}"/>
            </a:ext>
          </a:extLst>
        </xdr:cNvPr>
        <xdr:cNvCxnSpPr>
          <a:cxnSpLocks/>
        </xdr:cNvCxnSpPr>
      </xdr:nvCxnSpPr>
      <xdr:spPr>
        <a:xfrm>
          <a:off x="13741400" y="5895975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419100</xdr:colOff>
      <xdr:row>116</xdr:row>
      <xdr:rowOff>101600</xdr:rowOff>
    </xdr:from>
    <xdr:to>
      <xdr:col>41</xdr:col>
      <xdr:colOff>0</xdr:colOff>
      <xdr:row>116</xdr:row>
      <xdr:rowOff>101600</xdr:rowOff>
    </xdr:to>
    <xdr:cxnSp macro="">
      <xdr:nvCxnSpPr>
        <xdr:cNvPr id="513" name="Straight Connector 512">
          <a:extLst>
            <a:ext uri="{FF2B5EF4-FFF2-40B4-BE49-F238E27FC236}">
              <a16:creationId xmlns:a16="http://schemas.microsoft.com/office/drawing/2014/main" id="{0F6B23BC-C451-B546-AC25-B2E1A2D66AB4}"/>
            </a:ext>
          </a:extLst>
        </xdr:cNvPr>
        <xdr:cNvCxnSpPr>
          <a:cxnSpLocks/>
        </xdr:cNvCxnSpPr>
      </xdr:nvCxnSpPr>
      <xdr:spPr>
        <a:xfrm>
          <a:off x="13754100" y="6689725"/>
          <a:ext cx="4143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292100</xdr:colOff>
      <xdr:row>110</xdr:row>
      <xdr:rowOff>0</xdr:rowOff>
    </xdr:from>
    <xdr:to>
      <xdr:col>40</xdr:col>
      <xdr:colOff>533400</xdr:colOff>
      <xdr:row>111</xdr:row>
      <xdr:rowOff>0</xdr:rowOff>
    </xdr:to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B8525CCE-F87A-D54C-B8EB-732E408FEDE0}"/>
            </a:ext>
          </a:extLst>
        </xdr:cNvPr>
        <xdr:cNvSpPr/>
      </xdr:nvSpPr>
      <xdr:spPr>
        <a:xfrm>
          <a:off x="13627100" y="6191250"/>
          <a:ext cx="241300" cy="1984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406400</xdr:colOff>
      <xdr:row>114</xdr:row>
      <xdr:rowOff>101600</xdr:rowOff>
    </xdr:from>
    <xdr:to>
      <xdr:col>45</xdr:col>
      <xdr:colOff>406400</xdr:colOff>
      <xdr:row>118</xdr:row>
      <xdr:rowOff>101600</xdr:rowOff>
    </xdr:to>
    <xdr:cxnSp macro="">
      <xdr:nvCxnSpPr>
        <xdr:cNvPr id="515" name="Straight Connector 514">
          <a:extLst>
            <a:ext uri="{FF2B5EF4-FFF2-40B4-BE49-F238E27FC236}">
              <a16:creationId xmlns:a16="http://schemas.microsoft.com/office/drawing/2014/main" id="{85158EE6-63E1-DE46-A5D8-2DEB43B0A9CE}"/>
            </a:ext>
          </a:extLst>
        </xdr:cNvPr>
        <xdr:cNvCxnSpPr/>
      </xdr:nvCxnSpPr>
      <xdr:spPr>
        <a:xfrm>
          <a:off x="15408275" y="6292850"/>
          <a:ext cx="0" cy="793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116</xdr:row>
      <xdr:rowOff>114300</xdr:rowOff>
    </xdr:from>
    <xdr:to>
      <xdr:col>45</xdr:col>
      <xdr:colOff>406400</xdr:colOff>
      <xdr:row>116</xdr:row>
      <xdr:rowOff>127000</xdr:rowOff>
    </xdr:to>
    <xdr:cxnSp macro="">
      <xdr:nvCxnSpPr>
        <xdr:cNvPr id="516" name="Straight Connector 515">
          <a:extLst>
            <a:ext uri="{FF2B5EF4-FFF2-40B4-BE49-F238E27FC236}">
              <a16:creationId xmlns:a16="http://schemas.microsoft.com/office/drawing/2014/main" id="{B69462F5-56F4-A246-97E9-E0C11325D667}"/>
            </a:ext>
          </a:extLst>
        </xdr:cNvPr>
        <xdr:cNvCxnSpPr>
          <a:cxnSpLocks/>
        </xdr:cNvCxnSpPr>
      </xdr:nvCxnSpPr>
      <xdr:spPr>
        <a:xfrm flipV="1">
          <a:off x="30175200" y="26073100"/>
          <a:ext cx="2921000" cy="127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406400</xdr:colOff>
      <xdr:row>114</xdr:row>
      <xdr:rowOff>101600</xdr:rowOff>
    </xdr:from>
    <xdr:to>
      <xdr:col>45</xdr:col>
      <xdr:colOff>812800</xdr:colOff>
      <xdr:row>114</xdr:row>
      <xdr:rowOff>101600</xdr:rowOff>
    </xdr:to>
    <xdr:cxnSp macro="">
      <xdr:nvCxnSpPr>
        <xdr:cNvPr id="517" name="Straight Connector 516">
          <a:extLst>
            <a:ext uri="{FF2B5EF4-FFF2-40B4-BE49-F238E27FC236}">
              <a16:creationId xmlns:a16="http://schemas.microsoft.com/office/drawing/2014/main" id="{DB24863D-2B61-8A4E-9DDC-2C37F0ADD5E8}"/>
            </a:ext>
          </a:extLst>
        </xdr:cNvPr>
        <xdr:cNvCxnSpPr>
          <a:cxnSpLocks/>
        </xdr:cNvCxnSpPr>
      </xdr:nvCxnSpPr>
      <xdr:spPr>
        <a:xfrm>
          <a:off x="15408275" y="629285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406400</xdr:colOff>
      <xdr:row>118</xdr:row>
      <xdr:rowOff>88900</xdr:rowOff>
    </xdr:from>
    <xdr:to>
      <xdr:col>45</xdr:col>
      <xdr:colOff>812800</xdr:colOff>
      <xdr:row>118</xdr:row>
      <xdr:rowOff>88900</xdr:rowOff>
    </xdr:to>
    <xdr:cxnSp macro="">
      <xdr:nvCxnSpPr>
        <xdr:cNvPr id="518" name="Straight Connector 517">
          <a:extLst>
            <a:ext uri="{FF2B5EF4-FFF2-40B4-BE49-F238E27FC236}">
              <a16:creationId xmlns:a16="http://schemas.microsoft.com/office/drawing/2014/main" id="{3A50EA31-821E-884E-896C-2C448E1E0748}"/>
            </a:ext>
          </a:extLst>
        </xdr:cNvPr>
        <xdr:cNvCxnSpPr>
          <a:cxnSpLocks/>
        </xdr:cNvCxnSpPr>
      </xdr:nvCxnSpPr>
      <xdr:spPr>
        <a:xfrm>
          <a:off x="15408275" y="707390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292100</xdr:colOff>
      <xdr:row>116</xdr:row>
      <xdr:rowOff>0</xdr:rowOff>
    </xdr:from>
    <xdr:to>
      <xdr:col>45</xdr:col>
      <xdr:colOff>533400</xdr:colOff>
      <xdr:row>117</xdr:row>
      <xdr:rowOff>38100</xdr:rowOff>
    </xdr:to>
    <xdr:sp macro="" textlink="">
      <xdr:nvSpPr>
        <xdr:cNvPr id="519" name="Oval 518">
          <a:extLst>
            <a:ext uri="{FF2B5EF4-FFF2-40B4-BE49-F238E27FC236}">
              <a16:creationId xmlns:a16="http://schemas.microsoft.com/office/drawing/2014/main" id="{383C1088-FE9F-6A44-985E-E30965D3D7D0}"/>
            </a:ext>
          </a:extLst>
        </xdr:cNvPr>
        <xdr:cNvSpPr/>
      </xdr:nvSpPr>
      <xdr:spPr>
        <a:xfrm flipV="1">
          <a:off x="15293975" y="6588125"/>
          <a:ext cx="241300" cy="236538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49</xdr:col>
      <xdr:colOff>0</xdr:colOff>
      <xdr:row>114</xdr:row>
      <xdr:rowOff>114300</xdr:rowOff>
    </xdr:from>
    <xdr:to>
      <xdr:col>49</xdr:col>
      <xdr:colOff>368300</xdr:colOff>
      <xdr:row>114</xdr:row>
      <xdr:rowOff>114300</xdr:rowOff>
    </xdr:to>
    <xdr:cxnSp macro="">
      <xdr:nvCxnSpPr>
        <xdr:cNvPr id="520" name="Straight Connector 519">
          <a:extLst>
            <a:ext uri="{FF2B5EF4-FFF2-40B4-BE49-F238E27FC236}">
              <a16:creationId xmlns:a16="http://schemas.microsoft.com/office/drawing/2014/main" id="{08C2EC92-54B7-5B42-A733-734195C3A9F5}"/>
            </a:ext>
          </a:extLst>
        </xdr:cNvPr>
        <xdr:cNvCxnSpPr>
          <a:cxnSpLocks/>
        </xdr:cNvCxnSpPr>
      </xdr:nvCxnSpPr>
      <xdr:spPr>
        <a:xfrm>
          <a:off x="16668750" y="6305550"/>
          <a:ext cx="3683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381000</xdr:colOff>
      <xdr:row>112</xdr:row>
      <xdr:rowOff>101600</xdr:rowOff>
    </xdr:from>
    <xdr:to>
      <xdr:col>49</xdr:col>
      <xdr:colOff>381000</xdr:colOff>
      <xdr:row>116</xdr:row>
      <xdr:rowOff>101600</xdr:rowOff>
    </xdr:to>
    <xdr:cxnSp macro="">
      <xdr:nvCxnSpPr>
        <xdr:cNvPr id="521" name="Straight Connector 520">
          <a:extLst>
            <a:ext uri="{FF2B5EF4-FFF2-40B4-BE49-F238E27FC236}">
              <a16:creationId xmlns:a16="http://schemas.microsoft.com/office/drawing/2014/main" id="{D71BF018-6E1F-C640-B1A0-193597B86EC4}"/>
            </a:ext>
          </a:extLst>
        </xdr:cNvPr>
        <xdr:cNvCxnSpPr/>
      </xdr:nvCxnSpPr>
      <xdr:spPr>
        <a:xfrm>
          <a:off x="17049750" y="5895975"/>
          <a:ext cx="0" cy="793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381000</xdr:colOff>
      <xdr:row>112</xdr:row>
      <xdr:rowOff>101600</xdr:rowOff>
    </xdr:from>
    <xdr:to>
      <xdr:col>50</xdr:col>
      <xdr:colOff>0</xdr:colOff>
      <xdr:row>112</xdr:row>
      <xdr:rowOff>101600</xdr:rowOff>
    </xdr:to>
    <xdr:cxnSp macro="">
      <xdr:nvCxnSpPr>
        <xdr:cNvPr id="522" name="Straight Connector 521">
          <a:extLst>
            <a:ext uri="{FF2B5EF4-FFF2-40B4-BE49-F238E27FC236}">
              <a16:creationId xmlns:a16="http://schemas.microsoft.com/office/drawing/2014/main" id="{49679369-7207-9241-A72B-890C2A5A859F}"/>
            </a:ext>
          </a:extLst>
        </xdr:cNvPr>
        <xdr:cNvCxnSpPr>
          <a:cxnSpLocks/>
        </xdr:cNvCxnSpPr>
      </xdr:nvCxnSpPr>
      <xdr:spPr>
        <a:xfrm>
          <a:off x="17049750" y="5895975"/>
          <a:ext cx="4524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368300</xdr:colOff>
      <xdr:row>116</xdr:row>
      <xdr:rowOff>114300</xdr:rowOff>
    </xdr:from>
    <xdr:to>
      <xdr:col>49</xdr:col>
      <xdr:colOff>812800</xdr:colOff>
      <xdr:row>116</xdr:row>
      <xdr:rowOff>114300</xdr:rowOff>
    </xdr:to>
    <xdr:cxnSp macro="">
      <xdr:nvCxnSpPr>
        <xdr:cNvPr id="523" name="Straight Connector 522">
          <a:extLst>
            <a:ext uri="{FF2B5EF4-FFF2-40B4-BE49-F238E27FC236}">
              <a16:creationId xmlns:a16="http://schemas.microsoft.com/office/drawing/2014/main" id="{4B1DE381-DE46-E64C-8BE3-F40B0A0808F7}"/>
            </a:ext>
          </a:extLst>
        </xdr:cNvPr>
        <xdr:cNvCxnSpPr>
          <a:cxnSpLocks/>
        </xdr:cNvCxnSpPr>
      </xdr:nvCxnSpPr>
      <xdr:spPr>
        <a:xfrm>
          <a:off x="17037050" y="6702425"/>
          <a:ext cx="4445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266700</xdr:colOff>
      <xdr:row>114</xdr:row>
      <xdr:rowOff>0</xdr:rowOff>
    </xdr:from>
    <xdr:to>
      <xdr:col>49</xdr:col>
      <xdr:colOff>508000</xdr:colOff>
      <xdr:row>115</xdr:row>
      <xdr:rowOff>38100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809AB782-5A01-5B42-A727-F0261B6BD7EE}"/>
            </a:ext>
          </a:extLst>
        </xdr:cNvPr>
        <xdr:cNvSpPr/>
      </xdr:nvSpPr>
      <xdr:spPr>
        <a:xfrm flipV="1">
          <a:off x="16935450" y="6191250"/>
          <a:ext cx="241300" cy="236538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28</xdr:col>
      <xdr:colOff>406400</xdr:colOff>
      <xdr:row>131</xdr:row>
      <xdr:rowOff>101600</xdr:rowOff>
    </xdr:from>
    <xdr:to>
      <xdr:col>28</xdr:col>
      <xdr:colOff>406400</xdr:colOff>
      <xdr:row>135</xdr:row>
      <xdr:rowOff>101600</xdr:rowOff>
    </xdr:to>
    <xdr:cxnSp macro="">
      <xdr:nvCxnSpPr>
        <xdr:cNvPr id="535" name="Straight Connector 534">
          <a:extLst>
            <a:ext uri="{FF2B5EF4-FFF2-40B4-BE49-F238E27FC236}">
              <a16:creationId xmlns:a16="http://schemas.microsoft.com/office/drawing/2014/main" id="{34044FD9-7B8D-A74D-9E6D-9FF31326B821}"/>
            </a:ext>
          </a:extLst>
        </xdr:cNvPr>
        <xdr:cNvCxnSpPr/>
      </xdr:nvCxnSpPr>
      <xdr:spPr>
        <a:xfrm>
          <a:off x="10407650" y="8078788"/>
          <a:ext cx="0" cy="793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406400</xdr:colOff>
      <xdr:row>131</xdr:row>
      <xdr:rowOff>101600</xdr:rowOff>
    </xdr:from>
    <xdr:to>
      <xdr:col>28</xdr:col>
      <xdr:colOff>812800</xdr:colOff>
      <xdr:row>131</xdr:row>
      <xdr:rowOff>101600</xdr:rowOff>
    </xdr:to>
    <xdr:cxnSp macro="">
      <xdr:nvCxnSpPr>
        <xdr:cNvPr id="537" name="Straight Connector 536">
          <a:extLst>
            <a:ext uri="{FF2B5EF4-FFF2-40B4-BE49-F238E27FC236}">
              <a16:creationId xmlns:a16="http://schemas.microsoft.com/office/drawing/2014/main" id="{978894FE-DE2A-7244-9964-93445CC10E4F}"/>
            </a:ext>
          </a:extLst>
        </xdr:cNvPr>
        <xdr:cNvCxnSpPr>
          <a:cxnSpLocks/>
        </xdr:cNvCxnSpPr>
      </xdr:nvCxnSpPr>
      <xdr:spPr>
        <a:xfrm>
          <a:off x="10407650" y="8078788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406400</xdr:colOff>
      <xdr:row>135</xdr:row>
      <xdr:rowOff>88900</xdr:rowOff>
    </xdr:from>
    <xdr:to>
      <xdr:col>28</xdr:col>
      <xdr:colOff>812800</xdr:colOff>
      <xdr:row>135</xdr:row>
      <xdr:rowOff>88900</xdr:rowOff>
    </xdr:to>
    <xdr:cxnSp macro="">
      <xdr:nvCxnSpPr>
        <xdr:cNvPr id="538" name="Straight Connector 537">
          <a:extLst>
            <a:ext uri="{FF2B5EF4-FFF2-40B4-BE49-F238E27FC236}">
              <a16:creationId xmlns:a16="http://schemas.microsoft.com/office/drawing/2014/main" id="{938D529B-0C2B-F54B-AC13-6DBE24519B19}"/>
            </a:ext>
          </a:extLst>
        </xdr:cNvPr>
        <xdr:cNvCxnSpPr>
          <a:cxnSpLocks/>
        </xdr:cNvCxnSpPr>
      </xdr:nvCxnSpPr>
      <xdr:spPr>
        <a:xfrm>
          <a:off x="10407650" y="8859838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292100</xdr:colOff>
      <xdr:row>133</xdr:row>
      <xdr:rowOff>0</xdr:rowOff>
    </xdr:from>
    <xdr:to>
      <xdr:col>28</xdr:col>
      <xdr:colOff>533400</xdr:colOff>
      <xdr:row>134</xdr:row>
      <xdr:rowOff>38100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FDA16F1D-52A1-2C47-A3EA-9F7E8A1447D4}"/>
            </a:ext>
          </a:extLst>
        </xdr:cNvPr>
        <xdr:cNvSpPr/>
      </xdr:nvSpPr>
      <xdr:spPr>
        <a:xfrm flipV="1">
          <a:off x="10293350" y="8374063"/>
          <a:ext cx="241300" cy="236537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33421</xdr:colOff>
      <xdr:row>131</xdr:row>
      <xdr:rowOff>114300</xdr:rowOff>
    </xdr:from>
    <xdr:to>
      <xdr:col>34</xdr:col>
      <xdr:colOff>368300</xdr:colOff>
      <xdr:row>131</xdr:row>
      <xdr:rowOff>133684</xdr:rowOff>
    </xdr:to>
    <xdr:cxnSp macro="">
      <xdr:nvCxnSpPr>
        <xdr:cNvPr id="540" name="Straight Connector 539">
          <a:extLst>
            <a:ext uri="{FF2B5EF4-FFF2-40B4-BE49-F238E27FC236}">
              <a16:creationId xmlns:a16="http://schemas.microsoft.com/office/drawing/2014/main" id="{1170ABFD-F5AB-E84E-926D-15352F86DA23}"/>
            </a:ext>
          </a:extLst>
        </xdr:cNvPr>
        <xdr:cNvCxnSpPr>
          <a:cxnSpLocks/>
        </xdr:cNvCxnSpPr>
      </xdr:nvCxnSpPr>
      <xdr:spPr>
        <a:xfrm flipV="1">
          <a:off x="20086053" y="19231142"/>
          <a:ext cx="3676984" cy="193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381000</xdr:colOff>
      <xdr:row>129</xdr:row>
      <xdr:rowOff>101600</xdr:rowOff>
    </xdr:from>
    <xdr:to>
      <xdr:col>34</xdr:col>
      <xdr:colOff>381000</xdr:colOff>
      <xdr:row>133</xdr:row>
      <xdr:rowOff>101600</xdr:rowOff>
    </xdr:to>
    <xdr:cxnSp macro="">
      <xdr:nvCxnSpPr>
        <xdr:cNvPr id="541" name="Straight Connector 540">
          <a:extLst>
            <a:ext uri="{FF2B5EF4-FFF2-40B4-BE49-F238E27FC236}">
              <a16:creationId xmlns:a16="http://schemas.microsoft.com/office/drawing/2014/main" id="{2FB8135D-38C8-0746-9B34-B8354DAC83E2}"/>
            </a:ext>
          </a:extLst>
        </xdr:cNvPr>
        <xdr:cNvCxnSpPr/>
      </xdr:nvCxnSpPr>
      <xdr:spPr>
        <a:xfrm>
          <a:off x="12049125" y="7681913"/>
          <a:ext cx="0" cy="793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381000</xdr:colOff>
      <xdr:row>129</xdr:row>
      <xdr:rowOff>101600</xdr:rowOff>
    </xdr:from>
    <xdr:to>
      <xdr:col>35</xdr:col>
      <xdr:colOff>0</xdr:colOff>
      <xdr:row>129</xdr:row>
      <xdr:rowOff>101600</xdr:rowOff>
    </xdr:to>
    <xdr:cxnSp macro="">
      <xdr:nvCxnSpPr>
        <xdr:cNvPr id="542" name="Straight Connector 541">
          <a:extLst>
            <a:ext uri="{FF2B5EF4-FFF2-40B4-BE49-F238E27FC236}">
              <a16:creationId xmlns:a16="http://schemas.microsoft.com/office/drawing/2014/main" id="{2D57B17A-6EA9-7C47-AA5E-8724E26F3B2C}"/>
            </a:ext>
          </a:extLst>
        </xdr:cNvPr>
        <xdr:cNvCxnSpPr>
          <a:cxnSpLocks/>
        </xdr:cNvCxnSpPr>
      </xdr:nvCxnSpPr>
      <xdr:spPr>
        <a:xfrm>
          <a:off x="12049125" y="7681913"/>
          <a:ext cx="45243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368300</xdr:colOff>
      <xdr:row>133</xdr:row>
      <xdr:rowOff>114300</xdr:rowOff>
    </xdr:from>
    <xdr:to>
      <xdr:col>34</xdr:col>
      <xdr:colOff>812800</xdr:colOff>
      <xdr:row>133</xdr:row>
      <xdr:rowOff>114300</xdr:rowOff>
    </xdr:to>
    <xdr:cxnSp macro="">
      <xdr:nvCxnSpPr>
        <xdr:cNvPr id="543" name="Straight Connector 542">
          <a:extLst>
            <a:ext uri="{FF2B5EF4-FFF2-40B4-BE49-F238E27FC236}">
              <a16:creationId xmlns:a16="http://schemas.microsoft.com/office/drawing/2014/main" id="{0E7E3071-0E72-DB45-9E32-E0CAA9158103}"/>
            </a:ext>
          </a:extLst>
        </xdr:cNvPr>
        <xdr:cNvCxnSpPr>
          <a:cxnSpLocks/>
        </xdr:cNvCxnSpPr>
      </xdr:nvCxnSpPr>
      <xdr:spPr>
        <a:xfrm>
          <a:off x="12036425" y="8488363"/>
          <a:ext cx="4445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19849</xdr:colOff>
      <xdr:row>77</xdr:row>
      <xdr:rowOff>138905</xdr:rowOff>
    </xdr:from>
    <xdr:to>
      <xdr:col>15</xdr:col>
      <xdr:colOff>299208</xdr:colOff>
      <xdr:row>77</xdr:row>
      <xdr:rowOff>141345</xdr:rowOff>
    </xdr:to>
    <xdr:cxnSp macro="">
      <xdr:nvCxnSpPr>
        <xdr:cNvPr id="566" name="Straight Connector 565">
          <a:extLst>
            <a:ext uri="{FF2B5EF4-FFF2-40B4-BE49-F238E27FC236}">
              <a16:creationId xmlns:a16="http://schemas.microsoft.com/office/drawing/2014/main" id="{4ABC52CF-5462-3349-9610-0762705FF765}"/>
            </a:ext>
          </a:extLst>
        </xdr:cNvPr>
        <xdr:cNvCxnSpPr/>
      </xdr:nvCxnSpPr>
      <xdr:spPr>
        <a:xfrm>
          <a:off x="4187037" y="14366874"/>
          <a:ext cx="3613109" cy="24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396875</xdr:colOff>
      <xdr:row>77</xdr:row>
      <xdr:rowOff>99219</xdr:rowOff>
    </xdr:from>
    <xdr:to>
      <xdr:col>10</xdr:col>
      <xdr:colOff>7147</xdr:colOff>
      <xdr:row>77</xdr:row>
      <xdr:rowOff>99220</xdr:rowOff>
    </xdr:to>
    <xdr:cxnSp macro="">
      <xdr:nvCxnSpPr>
        <xdr:cNvPr id="570" name="Straight Connector 569">
          <a:extLst>
            <a:ext uri="{FF2B5EF4-FFF2-40B4-BE49-F238E27FC236}">
              <a16:creationId xmlns:a16="http://schemas.microsoft.com/office/drawing/2014/main" id="{9DB019AB-0816-2F48-AF93-FD620DD60E16}"/>
            </a:ext>
          </a:extLst>
        </xdr:cNvPr>
        <xdr:cNvCxnSpPr/>
      </xdr:nvCxnSpPr>
      <xdr:spPr>
        <a:xfrm>
          <a:off x="2897188" y="14227969"/>
          <a:ext cx="443709" cy="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358205</xdr:colOff>
      <xdr:row>77</xdr:row>
      <xdr:rowOff>79375</xdr:rowOff>
    </xdr:from>
    <xdr:to>
      <xdr:col>9</xdr:col>
      <xdr:colOff>396875</xdr:colOff>
      <xdr:row>151</xdr:row>
      <xdr:rowOff>130256</xdr:rowOff>
    </xdr:to>
    <xdr:cxnSp macro="">
      <xdr:nvCxnSpPr>
        <xdr:cNvPr id="571" name="Straight Connector 570">
          <a:extLst>
            <a:ext uri="{FF2B5EF4-FFF2-40B4-BE49-F238E27FC236}">
              <a16:creationId xmlns:a16="http://schemas.microsoft.com/office/drawing/2014/main" id="{9BFFEF1A-98F4-EF41-8C28-225AA397CEE1}"/>
            </a:ext>
          </a:extLst>
        </xdr:cNvPr>
        <xdr:cNvCxnSpPr/>
      </xdr:nvCxnSpPr>
      <xdr:spPr>
        <a:xfrm flipV="1">
          <a:off x="2800513" y="16133478"/>
          <a:ext cx="38670" cy="1603985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357187</xdr:colOff>
      <xdr:row>151</xdr:row>
      <xdr:rowOff>119064</xdr:rowOff>
    </xdr:from>
    <xdr:to>
      <xdr:col>9</xdr:col>
      <xdr:colOff>800896</xdr:colOff>
      <xdr:row>151</xdr:row>
      <xdr:rowOff>119065</xdr:rowOff>
    </xdr:to>
    <xdr:cxnSp macro="">
      <xdr:nvCxnSpPr>
        <xdr:cNvPr id="577" name="Straight Connector 576">
          <a:extLst>
            <a:ext uri="{FF2B5EF4-FFF2-40B4-BE49-F238E27FC236}">
              <a16:creationId xmlns:a16="http://schemas.microsoft.com/office/drawing/2014/main" id="{29BCCC23-5D9F-FF43-B3A6-590BB202D232}"/>
            </a:ext>
          </a:extLst>
        </xdr:cNvPr>
        <xdr:cNvCxnSpPr/>
      </xdr:nvCxnSpPr>
      <xdr:spPr>
        <a:xfrm>
          <a:off x="2857500" y="22979064"/>
          <a:ext cx="443709" cy="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151</xdr:row>
      <xdr:rowOff>119064</xdr:rowOff>
    </xdr:from>
    <xdr:to>
      <xdr:col>15</xdr:col>
      <xdr:colOff>279359</xdr:colOff>
      <xdr:row>151</xdr:row>
      <xdr:rowOff>121504</xdr:rowOff>
    </xdr:to>
    <xdr:cxnSp macro="">
      <xdr:nvCxnSpPr>
        <xdr:cNvPr id="578" name="Straight Connector 577">
          <a:extLst>
            <a:ext uri="{FF2B5EF4-FFF2-40B4-BE49-F238E27FC236}">
              <a16:creationId xmlns:a16="http://schemas.microsoft.com/office/drawing/2014/main" id="{5E187895-A698-3B43-9946-4C8D2EEC8E6C}"/>
            </a:ext>
          </a:extLst>
        </xdr:cNvPr>
        <xdr:cNvCxnSpPr/>
      </xdr:nvCxnSpPr>
      <xdr:spPr>
        <a:xfrm>
          <a:off x="4167188" y="22979064"/>
          <a:ext cx="279359" cy="24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277808</xdr:colOff>
      <xdr:row>151</xdr:row>
      <xdr:rowOff>0</xdr:rowOff>
    </xdr:from>
    <xdr:to>
      <xdr:col>15</xdr:col>
      <xdr:colOff>555620</xdr:colOff>
      <xdr:row>152</xdr:row>
      <xdr:rowOff>46830</xdr:rowOff>
    </xdr:to>
    <xdr:sp macro="" textlink="">
      <xdr:nvSpPr>
        <xdr:cNvPr id="579" name="Rectangle 578">
          <a:extLst>
            <a:ext uri="{FF2B5EF4-FFF2-40B4-BE49-F238E27FC236}">
              <a16:creationId xmlns:a16="http://schemas.microsoft.com/office/drawing/2014/main" id="{B5CD0970-5A4A-0F40-83D0-BEBF9A435BE1}"/>
            </a:ext>
          </a:extLst>
        </xdr:cNvPr>
        <xdr:cNvSpPr/>
      </xdr:nvSpPr>
      <xdr:spPr>
        <a:xfrm>
          <a:off x="4444996" y="22860000"/>
          <a:ext cx="277812" cy="24526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406400</xdr:colOff>
      <xdr:row>145</xdr:row>
      <xdr:rowOff>99222</xdr:rowOff>
    </xdr:from>
    <xdr:to>
      <xdr:col>15</xdr:col>
      <xdr:colOff>416720</xdr:colOff>
      <xdr:row>157</xdr:row>
      <xdr:rowOff>118534</xdr:rowOff>
    </xdr:to>
    <xdr:cxnSp macro="">
      <xdr:nvCxnSpPr>
        <xdr:cNvPr id="580" name="Straight Connector 579">
          <a:extLst>
            <a:ext uri="{FF2B5EF4-FFF2-40B4-BE49-F238E27FC236}">
              <a16:creationId xmlns:a16="http://schemas.microsoft.com/office/drawing/2014/main" id="{496EEC17-3028-BF44-871D-713146E7AC04}"/>
            </a:ext>
          </a:extLst>
        </xdr:cNvPr>
        <xdr:cNvCxnSpPr/>
      </xdr:nvCxnSpPr>
      <xdr:spPr>
        <a:xfrm flipV="1">
          <a:off x="4555067" y="23416422"/>
          <a:ext cx="10320" cy="25254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396871</xdr:colOff>
      <xdr:row>145</xdr:row>
      <xdr:rowOff>99219</xdr:rowOff>
    </xdr:from>
    <xdr:to>
      <xdr:col>16</xdr:col>
      <xdr:colOff>19844</xdr:colOff>
      <xdr:row>145</xdr:row>
      <xdr:rowOff>99220</xdr:rowOff>
    </xdr:to>
    <xdr:cxnSp macro="">
      <xdr:nvCxnSpPr>
        <xdr:cNvPr id="581" name="Straight Connector 580">
          <a:extLst>
            <a:ext uri="{FF2B5EF4-FFF2-40B4-BE49-F238E27FC236}">
              <a16:creationId xmlns:a16="http://schemas.microsoft.com/office/drawing/2014/main" id="{020DE531-63F5-C54F-A6E8-15B53E2B401E}"/>
            </a:ext>
          </a:extLst>
        </xdr:cNvPr>
        <xdr:cNvCxnSpPr>
          <a:cxnSpLocks/>
        </xdr:cNvCxnSpPr>
      </xdr:nvCxnSpPr>
      <xdr:spPr>
        <a:xfrm flipV="1">
          <a:off x="4564059" y="21768594"/>
          <a:ext cx="456410" cy="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382849</xdr:colOff>
      <xdr:row>157</xdr:row>
      <xdr:rowOff>119064</xdr:rowOff>
    </xdr:from>
    <xdr:to>
      <xdr:col>16</xdr:col>
      <xdr:colOff>5822</xdr:colOff>
      <xdr:row>157</xdr:row>
      <xdr:rowOff>119065</xdr:rowOff>
    </xdr:to>
    <xdr:cxnSp macro="">
      <xdr:nvCxnSpPr>
        <xdr:cNvPr id="586" name="Straight Connector 585">
          <a:extLst>
            <a:ext uri="{FF2B5EF4-FFF2-40B4-BE49-F238E27FC236}">
              <a16:creationId xmlns:a16="http://schemas.microsoft.com/office/drawing/2014/main" id="{E5458DA6-AC0B-7A4A-8078-F80445F4B0A6}"/>
            </a:ext>
          </a:extLst>
        </xdr:cNvPr>
        <xdr:cNvCxnSpPr>
          <a:cxnSpLocks/>
        </xdr:cNvCxnSpPr>
      </xdr:nvCxnSpPr>
      <xdr:spPr>
        <a:xfrm flipV="1">
          <a:off x="4531516" y="25942397"/>
          <a:ext cx="452706" cy="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7141</xdr:colOff>
      <xdr:row>145</xdr:row>
      <xdr:rowOff>119064</xdr:rowOff>
    </xdr:from>
    <xdr:to>
      <xdr:col>22</xdr:col>
      <xdr:colOff>426241</xdr:colOff>
      <xdr:row>145</xdr:row>
      <xdr:rowOff>119064</xdr:rowOff>
    </xdr:to>
    <xdr:cxnSp macro="">
      <xdr:nvCxnSpPr>
        <xdr:cNvPr id="588" name="Straight Connector 587">
          <a:extLst>
            <a:ext uri="{FF2B5EF4-FFF2-40B4-BE49-F238E27FC236}">
              <a16:creationId xmlns:a16="http://schemas.microsoft.com/office/drawing/2014/main" id="{663A72F6-B2E2-EA47-BEC3-0C0866F26A84}"/>
            </a:ext>
          </a:extLst>
        </xdr:cNvPr>
        <xdr:cNvCxnSpPr>
          <a:cxnSpLocks/>
        </xdr:cNvCxnSpPr>
      </xdr:nvCxnSpPr>
      <xdr:spPr>
        <a:xfrm>
          <a:off x="5841204" y="21788439"/>
          <a:ext cx="419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416715</xdr:colOff>
      <xdr:row>143</xdr:row>
      <xdr:rowOff>99219</xdr:rowOff>
    </xdr:from>
    <xdr:to>
      <xdr:col>22</xdr:col>
      <xdr:colOff>416715</xdr:colOff>
      <xdr:row>147</xdr:row>
      <xdr:rowOff>99219</xdr:rowOff>
    </xdr:to>
    <xdr:cxnSp macro="">
      <xdr:nvCxnSpPr>
        <xdr:cNvPr id="590" name="Straight Connector 589">
          <a:extLst>
            <a:ext uri="{FF2B5EF4-FFF2-40B4-BE49-F238E27FC236}">
              <a16:creationId xmlns:a16="http://schemas.microsoft.com/office/drawing/2014/main" id="{99C255F5-479E-E144-B493-94A696A47226}"/>
            </a:ext>
          </a:extLst>
        </xdr:cNvPr>
        <xdr:cNvCxnSpPr/>
      </xdr:nvCxnSpPr>
      <xdr:spPr>
        <a:xfrm>
          <a:off x="6250778" y="21371719"/>
          <a:ext cx="0" cy="793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297651</xdr:colOff>
      <xdr:row>144</xdr:row>
      <xdr:rowOff>198435</xdr:rowOff>
    </xdr:from>
    <xdr:to>
      <xdr:col>22</xdr:col>
      <xdr:colOff>538951</xdr:colOff>
      <xdr:row>146</xdr:row>
      <xdr:rowOff>38097</xdr:rowOff>
    </xdr:to>
    <xdr:sp macro="" textlink="">
      <xdr:nvSpPr>
        <xdr:cNvPr id="591" name="Oval 590">
          <a:extLst>
            <a:ext uri="{FF2B5EF4-FFF2-40B4-BE49-F238E27FC236}">
              <a16:creationId xmlns:a16="http://schemas.microsoft.com/office/drawing/2014/main" id="{EA4BD204-523B-7F44-A9E5-F6B369AEEC94}"/>
            </a:ext>
          </a:extLst>
        </xdr:cNvPr>
        <xdr:cNvSpPr/>
      </xdr:nvSpPr>
      <xdr:spPr>
        <a:xfrm flipV="1">
          <a:off x="6131714" y="21669373"/>
          <a:ext cx="241300" cy="236537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22</xdr:col>
      <xdr:colOff>396873</xdr:colOff>
      <xdr:row>143</xdr:row>
      <xdr:rowOff>99220</xdr:rowOff>
    </xdr:from>
    <xdr:to>
      <xdr:col>22</xdr:col>
      <xdr:colOff>803273</xdr:colOff>
      <xdr:row>143</xdr:row>
      <xdr:rowOff>99220</xdr:rowOff>
    </xdr:to>
    <xdr:cxnSp macro="">
      <xdr:nvCxnSpPr>
        <xdr:cNvPr id="592" name="Straight Connector 591">
          <a:extLst>
            <a:ext uri="{FF2B5EF4-FFF2-40B4-BE49-F238E27FC236}">
              <a16:creationId xmlns:a16="http://schemas.microsoft.com/office/drawing/2014/main" id="{37A7D62F-A0E5-0245-A698-27B9ACEC373B}"/>
            </a:ext>
          </a:extLst>
        </xdr:cNvPr>
        <xdr:cNvCxnSpPr>
          <a:cxnSpLocks/>
        </xdr:cNvCxnSpPr>
      </xdr:nvCxnSpPr>
      <xdr:spPr>
        <a:xfrm>
          <a:off x="6230936" y="2137172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416722</xdr:colOff>
      <xdr:row>147</xdr:row>
      <xdr:rowOff>99218</xdr:rowOff>
    </xdr:from>
    <xdr:to>
      <xdr:col>22</xdr:col>
      <xdr:colOff>823122</xdr:colOff>
      <xdr:row>147</xdr:row>
      <xdr:rowOff>99218</xdr:rowOff>
    </xdr:to>
    <xdr:cxnSp macro="">
      <xdr:nvCxnSpPr>
        <xdr:cNvPr id="593" name="Straight Connector 592">
          <a:extLst>
            <a:ext uri="{FF2B5EF4-FFF2-40B4-BE49-F238E27FC236}">
              <a16:creationId xmlns:a16="http://schemas.microsoft.com/office/drawing/2014/main" id="{6D48D0D3-86CE-FC42-8EC7-2DF9AEFBAA80}"/>
            </a:ext>
          </a:extLst>
        </xdr:cNvPr>
        <xdr:cNvCxnSpPr>
          <a:cxnSpLocks/>
        </xdr:cNvCxnSpPr>
      </xdr:nvCxnSpPr>
      <xdr:spPr>
        <a:xfrm>
          <a:off x="6250785" y="22165468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555629</xdr:colOff>
      <xdr:row>112</xdr:row>
      <xdr:rowOff>0</xdr:rowOff>
    </xdr:from>
    <xdr:to>
      <xdr:col>8</xdr:col>
      <xdr:colOff>233606</xdr:colOff>
      <xdr:row>114</xdr:row>
      <xdr:rowOff>121220</xdr:rowOff>
    </xdr:to>
    <xdr:sp macro="" textlink="">
      <xdr:nvSpPr>
        <xdr:cNvPr id="601" name="Rectangle 600">
          <a:extLst>
            <a:ext uri="{FF2B5EF4-FFF2-40B4-BE49-F238E27FC236}">
              <a16:creationId xmlns:a16="http://schemas.microsoft.com/office/drawing/2014/main" id="{2DC183AF-6BFC-A649-8F55-1122824E9C7B}"/>
            </a:ext>
          </a:extLst>
        </xdr:cNvPr>
        <xdr:cNvSpPr/>
      </xdr:nvSpPr>
      <xdr:spPr>
        <a:xfrm>
          <a:off x="1389067" y="18295938"/>
          <a:ext cx="511414" cy="51809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218279</xdr:colOff>
      <xdr:row>113</xdr:row>
      <xdr:rowOff>99219</xdr:rowOff>
    </xdr:from>
    <xdr:to>
      <xdr:col>9</xdr:col>
      <xdr:colOff>396875</xdr:colOff>
      <xdr:row>113</xdr:row>
      <xdr:rowOff>99219</xdr:rowOff>
    </xdr:to>
    <xdr:cxnSp macro="">
      <xdr:nvCxnSpPr>
        <xdr:cNvPr id="602" name="Straight Connector 601">
          <a:extLst>
            <a:ext uri="{FF2B5EF4-FFF2-40B4-BE49-F238E27FC236}">
              <a16:creationId xmlns:a16="http://schemas.microsoft.com/office/drawing/2014/main" id="{26E6C0B0-05CA-1A48-84EF-3ABCFAD0998E}"/>
            </a:ext>
          </a:extLst>
        </xdr:cNvPr>
        <xdr:cNvCxnSpPr/>
      </xdr:nvCxnSpPr>
      <xdr:spPr>
        <a:xfrm>
          <a:off x="1885154" y="18593594"/>
          <a:ext cx="1012034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476246</xdr:colOff>
      <xdr:row>17</xdr:row>
      <xdr:rowOff>119058</xdr:rowOff>
    </xdr:from>
    <xdr:to>
      <xdr:col>28</xdr:col>
      <xdr:colOff>827083</xdr:colOff>
      <xdr:row>17</xdr:row>
      <xdr:rowOff>126995</xdr:rowOff>
    </xdr:to>
    <xdr:cxnSp macro="">
      <xdr:nvCxnSpPr>
        <xdr:cNvPr id="613" name="Straight Connector 612">
          <a:extLst>
            <a:ext uri="{FF2B5EF4-FFF2-40B4-BE49-F238E27FC236}">
              <a16:creationId xmlns:a16="http://schemas.microsoft.com/office/drawing/2014/main" id="{07D8BD3E-A671-8A4D-B240-20A4E13AC833}"/>
            </a:ext>
          </a:extLst>
        </xdr:cNvPr>
        <xdr:cNvCxnSpPr/>
      </xdr:nvCxnSpPr>
      <xdr:spPr>
        <a:xfrm flipV="1">
          <a:off x="7977184" y="5139527"/>
          <a:ext cx="350837" cy="793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39688</xdr:colOff>
      <xdr:row>143</xdr:row>
      <xdr:rowOff>118266</xdr:rowOff>
    </xdr:from>
    <xdr:to>
      <xdr:col>28</xdr:col>
      <xdr:colOff>297651</xdr:colOff>
      <xdr:row>143</xdr:row>
      <xdr:rowOff>119062</xdr:rowOff>
    </xdr:to>
    <xdr:cxnSp macro="">
      <xdr:nvCxnSpPr>
        <xdr:cNvPr id="621" name="Straight Connector 620">
          <a:extLst>
            <a:ext uri="{FF2B5EF4-FFF2-40B4-BE49-F238E27FC236}">
              <a16:creationId xmlns:a16="http://schemas.microsoft.com/office/drawing/2014/main" id="{AABB9AE0-8B56-D549-9096-F2E89DFB5BDC}"/>
            </a:ext>
          </a:extLst>
        </xdr:cNvPr>
        <xdr:cNvCxnSpPr>
          <a:cxnSpLocks/>
          <a:endCxn id="623" idx="2"/>
        </xdr:cNvCxnSpPr>
      </xdr:nvCxnSpPr>
      <xdr:spPr>
        <a:xfrm flipV="1">
          <a:off x="15041563" y="22839360"/>
          <a:ext cx="3591713" cy="79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416715</xdr:colOff>
      <xdr:row>141</xdr:row>
      <xdr:rowOff>99219</xdr:rowOff>
    </xdr:from>
    <xdr:to>
      <xdr:col>28</xdr:col>
      <xdr:colOff>416715</xdr:colOff>
      <xdr:row>145</xdr:row>
      <xdr:rowOff>99219</xdr:rowOff>
    </xdr:to>
    <xdr:cxnSp macro="">
      <xdr:nvCxnSpPr>
        <xdr:cNvPr id="622" name="Straight Connector 621">
          <a:extLst>
            <a:ext uri="{FF2B5EF4-FFF2-40B4-BE49-F238E27FC236}">
              <a16:creationId xmlns:a16="http://schemas.microsoft.com/office/drawing/2014/main" id="{B6EE580C-678D-684B-A792-762C6D4D290E}"/>
            </a:ext>
          </a:extLst>
        </xdr:cNvPr>
        <xdr:cNvCxnSpPr/>
      </xdr:nvCxnSpPr>
      <xdr:spPr>
        <a:xfrm>
          <a:off x="6224848" y="23010019"/>
          <a:ext cx="0" cy="88053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297651</xdr:colOff>
      <xdr:row>142</xdr:row>
      <xdr:rowOff>198435</xdr:rowOff>
    </xdr:from>
    <xdr:to>
      <xdr:col>28</xdr:col>
      <xdr:colOff>538951</xdr:colOff>
      <xdr:row>144</xdr:row>
      <xdr:rowOff>38097</xdr:rowOff>
    </xdr:to>
    <xdr:sp macro="" textlink="">
      <xdr:nvSpPr>
        <xdr:cNvPr id="623" name="Oval 622">
          <a:extLst>
            <a:ext uri="{FF2B5EF4-FFF2-40B4-BE49-F238E27FC236}">
              <a16:creationId xmlns:a16="http://schemas.microsoft.com/office/drawing/2014/main" id="{1F17DDBB-C061-564B-97E7-8FA1AFAD67D8}"/>
            </a:ext>
          </a:extLst>
        </xdr:cNvPr>
        <xdr:cNvSpPr/>
      </xdr:nvSpPr>
      <xdr:spPr>
        <a:xfrm flipV="1">
          <a:off x="6105784" y="23329368"/>
          <a:ext cx="241300" cy="279929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28</xdr:col>
      <xdr:colOff>396873</xdr:colOff>
      <xdr:row>141</xdr:row>
      <xdr:rowOff>99220</xdr:rowOff>
    </xdr:from>
    <xdr:to>
      <xdr:col>28</xdr:col>
      <xdr:colOff>803273</xdr:colOff>
      <xdr:row>141</xdr:row>
      <xdr:rowOff>99220</xdr:rowOff>
    </xdr:to>
    <xdr:cxnSp macro="">
      <xdr:nvCxnSpPr>
        <xdr:cNvPr id="624" name="Straight Connector 623">
          <a:extLst>
            <a:ext uri="{FF2B5EF4-FFF2-40B4-BE49-F238E27FC236}">
              <a16:creationId xmlns:a16="http://schemas.microsoft.com/office/drawing/2014/main" id="{9A6C44DB-B056-4A4D-88C1-1434477CC5E6}"/>
            </a:ext>
          </a:extLst>
        </xdr:cNvPr>
        <xdr:cNvCxnSpPr>
          <a:cxnSpLocks/>
        </xdr:cNvCxnSpPr>
      </xdr:nvCxnSpPr>
      <xdr:spPr>
        <a:xfrm>
          <a:off x="6205006" y="2301002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416722</xdr:colOff>
      <xdr:row>145</xdr:row>
      <xdr:rowOff>99218</xdr:rowOff>
    </xdr:from>
    <xdr:to>
      <xdr:col>28</xdr:col>
      <xdr:colOff>823122</xdr:colOff>
      <xdr:row>145</xdr:row>
      <xdr:rowOff>99218</xdr:rowOff>
    </xdr:to>
    <xdr:cxnSp macro="">
      <xdr:nvCxnSpPr>
        <xdr:cNvPr id="625" name="Straight Connector 624">
          <a:extLst>
            <a:ext uri="{FF2B5EF4-FFF2-40B4-BE49-F238E27FC236}">
              <a16:creationId xmlns:a16="http://schemas.microsoft.com/office/drawing/2014/main" id="{74445375-5ED3-1548-9264-B2C637D4BC83}"/>
            </a:ext>
          </a:extLst>
        </xdr:cNvPr>
        <xdr:cNvCxnSpPr>
          <a:cxnSpLocks/>
        </xdr:cNvCxnSpPr>
      </xdr:nvCxnSpPr>
      <xdr:spPr>
        <a:xfrm>
          <a:off x="6224855" y="23890551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279400</xdr:colOff>
      <xdr:row>54</xdr:row>
      <xdr:rowOff>0</xdr:rowOff>
    </xdr:from>
    <xdr:to>
      <xdr:col>46</xdr:col>
      <xdr:colOff>520700</xdr:colOff>
      <xdr:row>55</xdr:row>
      <xdr:rowOff>0</xdr:rowOff>
    </xdr:to>
    <xdr:sp macro="" textlink="">
      <xdr:nvSpPr>
        <xdr:cNvPr id="627" name="Rectangle 626">
          <a:extLst>
            <a:ext uri="{FF2B5EF4-FFF2-40B4-BE49-F238E27FC236}">
              <a16:creationId xmlns:a16="http://schemas.microsoft.com/office/drawing/2014/main" id="{A30F4037-C11A-0F4E-8060-DB13071042F5}"/>
            </a:ext>
          </a:extLst>
        </xdr:cNvPr>
        <xdr:cNvSpPr/>
      </xdr:nvSpPr>
      <xdr:spPr>
        <a:xfrm>
          <a:off x="14528800" y="8128000"/>
          <a:ext cx="241300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34</xdr:col>
      <xdr:colOff>257972</xdr:colOff>
      <xdr:row>131</xdr:row>
      <xdr:rowOff>0</xdr:rowOff>
    </xdr:from>
    <xdr:to>
      <xdr:col>34</xdr:col>
      <xdr:colOff>499272</xdr:colOff>
      <xdr:row>132</xdr:row>
      <xdr:rowOff>0</xdr:rowOff>
    </xdr:to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1830BC61-B660-354F-AE87-4B56EBC4C73C}"/>
            </a:ext>
          </a:extLst>
        </xdr:cNvPr>
        <xdr:cNvSpPr/>
      </xdr:nvSpPr>
      <xdr:spPr>
        <a:xfrm>
          <a:off x="11092660" y="20161250"/>
          <a:ext cx="241300" cy="2182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22</xdr:col>
      <xdr:colOff>7141</xdr:colOff>
      <xdr:row>157</xdr:row>
      <xdr:rowOff>119064</xdr:rowOff>
    </xdr:from>
    <xdr:to>
      <xdr:col>22</xdr:col>
      <xdr:colOff>426241</xdr:colOff>
      <xdr:row>157</xdr:row>
      <xdr:rowOff>119064</xdr:rowOff>
    </xdr:to>
    <xdr:cxnSp macro="">
      <xdr:nvCxnSpPr>
        <xdr:cNvPr id="655" name="Straight Connector 654">
          <a:extLst>
            <a:ext uri="{FF2B5EF4-FFF2-40B4-BE49-F238E27FC236}">
              <a16:creationId xmlns:a16="http://schemas.microsoft.com/office/drawing/2014/main" id="{C33DD550-687F-DD40-80F5-C5E0FCD568CB}"/>
            </a:ext>
          </a:extLst>
        </xdr:cNvPr>
        <xdr:cNvCxnSpPr>
          <a:cxnSpLocks/>
        </xdr:cNvCxnSpPr>
      </xdr:nvCxnSpPr>
      <xdr:spPr>
        <a:xfrm>
          <a:off x="5841204" y="22463127"/>
          <a:ext cx="419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416715</xdr:colOff>
      <xdr:row>155</xdr:row>
      <xdr:rowOff>99219</xdr:rowOff>
    </xdr:from>
    <xdr:to>
      <xdr:col>22</xdr:col>
      <xdr:colOff>416715</xdr:colOff>
      <xdr:row>159</xdr:row>
      <xdr:rowOff>99219</xdr:rowOff>
    </xdr:to>
    <xdr:cxnSp macro="">
      <xdr:nvCxnSpPr>
        <xdr:cNvPr id="656" name="Straight Connector 655">
          <a:extLst>
            <a:ext uri="{FF2B5EF4-FFF2-40B4-BE49-F238E27FC236}">
              <a16:creationId xmlns:a16="http://schemas.microsoft.com/office/drawing/2014/main" id="{953DBB0C-15FF-E347-A461-117B6EEBAAE0}"/>
            </a:ext>
          </a:extLst>
        </xdr:cNvPr>
        <xdr:cNvCxnSpPr/>
      </xdr:nvCxnSpPr>
      <xdr:spPr>
        <a:xfrm>
          <a:off x="6250778" y="22006719"/>
          <a:ext cx="0" cy="8731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297651</xdr:colOff>
      <xdr:row>156</xdr:row>
      <xdr:rowOff>198435</xdr:rowOff>
    </xdr:from>
    <xdr:to>
      <xdr:col>22</xdr:col>
      <xdr:colOff>538951</xdr:colOff>
      <xdr:row>158</xdr:row>
      <xdr:rowOff>38097</xdr:rowOff>
    </xdr:to>
    <xdr:sp macro="" textlink="">
      <xdr:nvSpPr>
        <xdr:cNvPr id="657" name="Oval 656">
          <a:extLst>
            <a:ext uri="{FF2B5EF4-FFF2-40B4-BE49-F238E27FC236}">
              <a16:creationId xmlns:a16="http://schemas.microsoft.com/office/drawing/2014/main" id="{5F3BA20B-2F43-F643-A2F9-9858A35625A0}"/>
            </a:ext>
          </a:extLst>
        </xdr:cNvPr>
        <xdr:cNvSpPr/>
      </xdr:nvSpPr>
      <xdr:spPr>
        <a:xfrm flipV="1">
          <a:off x="6131714" y="22324216"/>
          <a:ext cx="241300" cy="276225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22</xdr:col>
      <xdr:colOff>396873</xdr:colOff>
      <xdr:row>155</xdr:row>
      <xdr:rowOff>99220</xdr:rowOff>
    </xdr:from>
    <xdr:to>
      <xdr:col>22</xdr:col>
      <xdr:colOff>803273</xdr:colOff>
      <xdr:row>155</xdr:row>
      <xdr:rowOff>99220</xdr:rowOff>
    </xdr:to>
    <xdr:cxnSp macro="">
      <xdr:nvCxnSpPr>
        <xdr:cNvPr id="658" name="Straight Connector 657">
          <a:extLst>
            <a:ext uri="{FF2B5EF4-FFF2-40B4-BE49-F238E27FC236}">
              <a16:creationId xmlns:a16="http://schemas.microsoft.com/office/drawing/2014/main" id="{42E46888-69F1-C740-AB95-184D61E0B950}"/>
            </a:ext>
          </a:extLst>
        </xdr:cNvPr>
        <xdr:cNvCxnSpPr>
          <a:cxnSpLocks/>
        </xdr:cNvCxnSpPr>
      </xdr:nvCxnSpPr>
      <xdr:spPr>
        <a:xfrm>
          <a:off x="6230936" y="22006720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416722</xdr:colOff>
      <xdr:row>159</xdr:row>
      <xdr:rowOff>99218</xdr:rowOff>
    </xdr:from>
    <xdr:to>
      <xdr:col>22</xdr:col>
      <xdr:colOff>823122</xdr:colOff>
      <xdr:row>159</xdr:row>
      <xdr:rowOff>99218</xdr:rowOff>
    </xdr:to>
    <xdr:cxnSp macro="">
      <xdr:nvCxnSpPr>
        <xdr:cNvPr id="659" name="Straight Connector 658">
          <a:extLst>
            <a:ext uri="{FF2B5EF4-FFF2-40B4-BE49-F238E27FC236}">
              <a16:creationId xmlns:a16="http://schemas.microsoft.com/office/drawing/2014/main" id="{4ADD1D9A-4EA1-2F49-956B-4E2FA68D8BEF}"/>
            </a:ext>
          </a:extLst>
        </xdr:cNvPr>
        <xdr:cNvCxnSpPr>
          <a:cxnSpLocks/>
        </xdr:cNvCxnSpPr>
      </xdr:nvCxnSpPr>
      <xdr:spPr>
        <a:xfrm>
          <a:off x="6250785" y="22879843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7141</xdr:colOff>
      <xdr:row>155</xdr:row>
      <xdr:rowOff>119064</xdr:rowOff>
    </xdr:from>
    <xdr:to>
      <xdr:col>28</xdr:col>
      <xdr:colOff>426241</xdr:colOff>
      <xdr:row>155</xdr:row>
      <xdr:rowOff>119064</xdr:rowOff>
    </xdr:to>
    <xdr:cxnSp macro="">
      <xdr:nvCxnSpPr>
        <xdr:cNvPr id="660" name="Straight Connector 659">
          <a:extLst>
            <a:ext uri="{FF2B5EF4-FFF2-40B4-BE49-F238E27FC236}">
              <a16:creationId xmlns:a16="http://schemas.microsoft.com/office/drawing/2014/main" id="{06FC1113-4EBF-B34E-9C3D-5FE11EBB13B2}"/>
            </a:ext>
          </a:extLst>
        </xdr:cNvPr>
        <xdr:cNvCxnSpPr>
          <a:cxnSpLocks/>
        </xdr:cNvCxnSpPr>
      </xdr:nvCxnSpPr>
      <xdr:spPr>
        <a:xfrm>
          <a:off x="7508079" y="22026564"/>
          <a:ext cx="419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416715</xdr:colOff>
      <xdr:row>153</xdr:row>
      <xdr:rowOff>99219</xdr:rowOff>
    </xdr:from>
    <xdr:to>
      <xdr:col>28</xdr:col>
      <xdr:colOff>416715</xdr:colOff>
      <xdr:row>157</xdr:row>
      <xdr:rowOff>99219</xdr:rowOff>
    </xdr:to>
    <xdr:cxnSp macro="">
      <xdr:nvCxnSpPr>
        <xdr:cNvPr id="661" name="Straight Connector 660">
          <a:extLst>
            <a:ext uri="{FF2B5EF4-FFF2-40B4-BE49-F238E27FC236}">
              <a16:creationId xmlns:a16="http://schemas.microsoft.com/office/drawing/2014/main" id="{9199DD1C-B64A-5140-8E22-2E2DA2576D9C}"/>
            </a:ext>
          </a:extLst>
        </xdr:cNvPr>
        <xdr:cNvCxnSpPr/>
      </xdr:nvCxnSpPr>
      <xdr:spPr>
        <a:xfrm>
          <a:off x="7917653" y="21570157"/>
          <a:ext cx="0" cy="8731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297651</xdr:colOff>
      <xdr:row>154</xdr:row>
      <xdr:rowOff>198435</xdr:rowOff>
    </xdr:from>
    <xdr:to>
      <xdr:col>28</xdr:col>
      <xdr:colOff>538951</xdr:colOff>
      <xdr:row>156</xdr:row>
      <xdr:rowOff>38097</xdr:rowOff>
    </xdr:to>
    <xdr:sp macro="" textlink="">
      <xdr:nvSpPr>
        <xdr:cNvPr id="662" name="Oval 661">
          <a:extLst>
            <a:ext uri="{FF2B5EF4-FFF2-40B4-BE49-F238E27FC236}">
              <a16:creationId xmlns:a16="http://schemas.microsoft.com/office/drawing/2014/main" id="{5C807D01-F696-6F41-8FB2-62974D722B44}"/>
            </a:ext>
          </a:extLst>
        </xdr:cNvPr>
        <xdr:cNvSpPr/>
      </xdr:nvSpPr>
      <xdr:spPr>
        <a:xfrm flipV="1">
          <a:off x="7798589" y="21887654"/>
          <a:ext cx="241300" cy="276224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28</xdr:col>
      <xdr:colOff>396873</xdr:colOff>
      <xdr:row>153</xdr:row>
      <xdr:rowOff>99220</xdr:rowOff>
    </xdr:from>
    <xdr:to>
      <xdr:col>28</xdr:col>
      <xdr:colOff>803273</xdr:colOff>
      <xdr:row>153</xdr:row>
      <xdr:rowOff>99220</xdr:rowOff>
    </xdr:to>
    <xdr:cxnSp macro="">
      <xdr:nvCxnSpPr>
        <xdr:cNvPr id="663" name="Straight Connector 662">
          <a:extLst>
            <a:ext uri="{FF2B5EF4-FFF2-40B4-BE49-F238E27FC236}">
              <a16:creationId xmlns:a16="http://schemas.microsoft.com/office/drawing/2014/main" id="{82976F29-6A9E-564B-B2CF-5761440C14E1}"/>
            </a:ext>
          </a:extLst>
        </xdr:cNvPr>
        <xdr:cNvCxnSpPr>
          <a:cxnSpLocks/>
        </xdr:cNvCxnSpPr>
      </xdr:nvCxnSpPr>
      <xdr:spPr>
        <a:xfrm>
          <a:off x="7897811" y="21570158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416722</xdr:colOff>
      <xdr:row>157</xdr:row>
      <xdr:rowOff>99218</xdr:rowOff>
    </xdr:from>
    <xdr:to>
      <xdr:col>28</xdr:col>
      <xdr:colOff>823122</xdr:colOff>
      <xdr:row>157</xdr:row>
      <xdr:rowOff>99218</xdr:rowOff>
    </xdr:to>
    <xdr:cxnSp macro="">
      <xdr:nvCxnSpPr>
        <xdr:cNvPr id="664" name="Straight Connector 663">
          <a:extLst>
            <a:ext uri="{FF2B5EF4-FFF2-40B4-BE49-F238E27FC236}">
              <a16:creationId xmlns:a16="http://schemas.microsoft.com/office/drawing/2014/main" id="{BAE715BB-A4BF-CA47-A911-6950A9B6C319}"/>
            </a:ext>
          </a:extLst>
        </xdr:cNvPr>
        <xdr:cNvCxnSpPr>
          <a:cxnSpLocks/>
        </xdr:cNvCxnSpPr>
      </xdr:nvCxnSpPr>
      <xdr:spPr>
        <a:xfrm>
          <a:off x="7917660" y="22443281"/>
          <a:ext cx="4064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0</xdr:colOff>
      <xdr:row>26</xdr:row>
      <xdr:rowOff>0</xdr:rowOff>
    </xdr:from>
    <xdr:to>
      <xdr:col>73</xdr:col>
      <xdr:colOff>167105</xdr:colOff>
      <xdr:row>26</xdr:row>
      <xdr:rowOff>3</xdr:rowOff>
    </xdr:to>
    <xdr:cxnSp macro="">
      <xdr:nvCxnSpPr>
        <xdr:cNvPr id="666" name="Straight Connector 665">
          <a:extLst>
            <a:ext uri="{FF2B5EF4-FFF2-40B4-BE49-F238E27FC236}">
              <a16:creationId xmlns:a16="http://schemas.microsoft.com/office/drawing/2014/main" id="{AF8F721A-A5E2-F94B-817A-6B8705D45BCE}"/>
            </a:ext>
          </a:extLst>
        </xdr:cNvPr>
        <xdr:cNvCxnSpPr>
          <a:cxnSpLocks/>
        </xdr:cNvCxnSpPr>
      </xdr:nvCxnSpPr>
      <xdr:spPr>
        <a:xfrm flipV="1">
          <a:off x="38434211" y="5280526"/>
          <a:ext cx="6851315" cy="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0</xdr:colOff>
      <xdr:row>30</xdr:row>
      <xdr:rowOff>19849</xdr:rowOff>
    </xdr:from>
    <xdr:to>
      <xdr:col>73</xdr:col>
      <xdr:colOff>317500</xdr:colOff>
      <xdr:row>30</xdr:row>
      <xdr:rowOff>55513</xdr:rowOff>
    </xdr:to>
    <xdr:cxnSp macro="">
      <xdr:nvCxnSpPr>
        <xdr:cNvPr id="669" name="Straight Connector 668">
          <a:extLst>
            <a:ext uri="{FF2B5EF4-FFF2-40B4-BE49-F238E27FC236}">
              <a16:creationId xmlns:a16="http://schemas.microsoft.com/office/drawing/2014/main" id="{21687A06-231D-0C41-917F-16E5C659C985}"/>
            </a:ext>
          </a:extLst>
        </xdr:cNvPr>
        <xdr:cNvCxnSpPr>
          <a:cxnSpLocks/>
          <a:endCxn id="745" idx="5"/>
        </xdr:cNvCxnSpPr>
      </xdr:nvCxnSpPr>
      <xdr:spPr>
        <a:xfrm>
          <a:off x="37894054" y="6678768"/>
          <a:ext cx="6907770" cy="3566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0</xdr:colOff>
      <xdr:row>39</xdr:row>
      <xdr:rowOff>53269</xdr:rowOff>
    </xdr:from>
    <xdr:to>
      <xdr:col>73</xdr:col>
      <xdr:colOff>267368</xdr:colOff>
      <xdr:row>39</xdr:row>
      <xdr:rowOff>66842</xdr:rowOff>
    </xdr:to>
    <xdr:cxnSp macro="">
      <xdr:nvCxnSpPr>
        <xdr:cNvPr id="670" name="Straight Connector 669">
          <a:extLst>
            <a:ext uri="{FF2B5EF4-FFF2-40B4-BE49-F238E27FC236}">
              <a16:creationId xmlns:a16="http://schemas.microsoft.com/office/drawing/2014/main" id="{C093E241-CEEA-B64A-9862-66912DFA9588}"/>
            </a:ext>
          </a:extLst>
        </xdr:cNvPr>
        <xdr:cNvCxnSpPr>
          <a:cxnSpLocks/>
        </xdr:cNvCxnSpPr>
      </xdr:nvCxnSpPr>
      <xdr:spPr>
        <a:xfrm>
          <a:off x="38434211" y="6938006"/>
          <a:ext cx="6951578" cy="1357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0</xdr:colOff>
      <xdr:row>43</xdr:row>
      <xdr:rowOff>19848</xdr:rowOff>
    </xdr:from>
    <xdr:to>
      <xdr:col>73</xdr:col>
      <xdr:colOff>267368</xdr:colOff>
      <xdr:row>43</xdr:row>
      <xdr:rowOff>33421</xdr:rowOff>
    </xdr:to>
    <xdr:cxnSp macro="">
      <xdr:nvCxnSpPr>
        <xdr:cNvPr id="671" name="Straight Connector 670">
          <a:extLst>
            <a:ext uri="{FF2B5EF4-FFF2-40B4-BE49-F238E27FC236}">
              <a16:creationId xmlns:a16="http://schemas.microsoft.com/office/drawing/2014/main" id="{D7279F00-2354-874F-ADC5-F59E27C47847}"/>
            </a:ext>
          </a:extLst>
        </xdr:cNvPr>
        <xdr:cNvCxnSpPr>
          <a:cxnSpLocks/>
        </xdr:cNvCxnSpPr>
      </xdr:nvCxnSpPr>
      <xdr:spPr>
        <a:xfrm>
          <a:off x="38434211" y="7706690"/>
          <a:ext cx="6951578" cy="1357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19844</xdr:colOff>
      <xdr:row>27</xdr:row>
      <xdr:rowOff>119068</xdr:rowOff>
    </xdr:from>
    <xdr:to>
      <xdr:col>63</xdr:col>
      <xdr:colOff>286544</xdr:colOff>
      <xdr:row>27</xdr:row>
      <xdr:rowOff>128189</xdr:rowOff>
    </xdr:to>
    <xdr:cxnSp macro="">
      <xdr:nvCxnSpPr>
        <xdr:cNvPr id="683" name="Straight Connector 682">
          <a:extLst>
            <a:ext uri="{FF2B5EF4-FFF2-40B4-BE49-F238E27FC236}">
              <a16:creationId xmlns:a16="http://schemas.microsoft.com/office/drawing/2014/main" id="{3B63CD0C-940B-5842-BAB0-609357FCF7DF}"/>
            </a:ext>
          </a:extLst>
        </xdr:cNvPr>
        <xdr:cNvCxnSpPr>
          <a:cxnSpLocks/>
        </xdr:cNvCxnSpPr>
      </xdr:nvCxnSpPr>
      <xdr:spPr>
        <a:xfrm>
          <a:off x="19188907" y="4286256"/>
          <a:ext cx="5267325" cy="912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800891</xdr:colOff>
      <xdr:row>32</xdr:row>
      <xdr:rowOff>7</xdr:rowOff>
    </xdr:from>
    <xdr:to>
      <xdr:col>63</xdr:col>
      <xdr:colOff>625299</xdr:colOff>
      <xdr:row>32</xdr:row>
      <xdr:rowOff>19085</xdr:rowOff>
    </xdr:to>
    <xdr:cxnSp macro="">
      <xdr:nvCxnSpPr>
        <xdr:cNvPr id="685" name="Straight Connector 684">
          <a:extLst>
            <a:ext uri="{FF2B5EF4-FFF2-40B4-BE49-F238E27FC236}">
              <a16:creationId xmlns:a16="http://schemas.microsoft.com/office/drawing/2014/main" id="{370DAFC1-8E75-054C-AC19-DDEA23519824}"/>
            </a:ext>
          </a:extLst>
        </xdr:cNvPr>
        <xdr:cNvCxnSpPr>
          <a:cxnSpLocks/>
          <a:endCxn id="794" idx="3"/>
        </xdr:cNvCxnSpPr>
      </xdr:nvCxnSpPr>
      <xdr:spPr>
        <a:xfrm>
          <a:off x="31280891" y="7070818"/>
          <a:ext cx="5590894" cy="1907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813594</xdr:colOff>
      <xdr:row>40</xdr:row>
      <xdr:rowOff>99222</xdr:rowOff>
    </xdr:from>
    <xdr:to>
      <xdr:col>63</xdr:col>
      <xdr:colOff>19843</xdr:colOff>
      <xdr:row>40</xdr:row>
      <xdr:rowOff>119062</xdr:rowOff>
    </xdr:to>
    <xdr:cxnSp macro="">
      <xdr:nvCxnSpPr>
        <xdr:cNvPr id="686" name="Straight Connector 685">
          <a:extLst>
            <a:ext uri="{FF2B5EF4-FFF2-40B4-BE49-F238E27FC236}">
              <a16:creationId xmlns:a16="http://schemas.microsoft.com/office/drawing/2014/main" id="{844A4034-581A-0345-9F73-0EE60FAF318D}"/>
            </a:ext>
          </a:extLst>
        </xdr:cNvPr>
        <xdr:cNvCxnSpPr>
          <a:cxnSpLocks/>
        </xdr:cNvCxnSpPr>
      </xdr:nvCxnSpPr>
      <xdr:spPr>
        <a:xfrm>
          <a:off x="19149219" y="6012660"/>
          <a:ext cx="5040312" cy="1984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820733</xdr:colOff>
      <xdr:row>151</xdr:row>
      <xdr:rowOff>119064</xdr:rowOff>
    </xdr:from>
    <xdr:to>
      <xdr:col>15</xdr:col>
      <xdr:colOff>279354</xdr:colOff>
      <xdr:row>151</xdr:row>
      <xdr:rowOff>121504</xdr:rowOff>
    </xdr:to>
    <xdr:cxnSp macro="">
      <xdr:nvCxnSpPr>
        <xdr:cNvPr id="689" name="Straight Connector 688">
          <a:extLst>
            <a:ext uri="{FF2B5EF4-FFF2-40B4-BE49-F238E27FC236}">
              <a16:creationId xmlns:a16="http://schemas.microsoft.com/office/drawing/2014/main" id="{76EEA65F-0E43-0345-9C55-6D97F5CFAE95}"/>
            </a:ext>
          </a:extLst>
        </xdr:cNvPr>
        <xdr:cNvCxnSpPr/>
      </xdr:nvCxnSpPr>
      <xdr:spPr>
        <a:xfrm>
          <a:off x="4154483" y="23752970"/>
          <a:ext cx="3625809" cy="24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820734</xdr:colOff>
      <xdr:row>108</xdr:row>
      <xdr:rowOff>119064</xdr:rowOff>
    </xdr:from>
    <xdr:to>
      <xdr:col>22</xdr:col>
      <xdr:colOff>319043</xdr:colOff>
      <xdr:row>108</xdr:row>
      <xdr:rowOff>125008</xdr:rowOff>
    </xdr:to>
    <xdr:cxnSp macro="">
      <xdr:nvCxnSpPr>
        <xdr:cNvPr id="695" name="Straight Connector 694">
          <a:extLst>
            <a:ext uri="{FF2B5EF4-FFF2-40B4-BE49-F238E27FC236}">
              <a16:creationId xmlns:a16="http://schemas.microsoft.com/office/drawing/2014/main" id="{0046A9B3-BB12-184D-8B76-50CD1DABB902}"/>
            </a:ext>
          </a:extLst>
        </xdr:cNvPr>
        <xdr:cNvCxnSpPr/>
      </xdr:nvCxnSpPr>
      <xdr:spPr>
        <a:xfrm>
          <a:off x="9155109" y="17918908"/>
          <a:ext cx="4498934" cy="594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833435</xdr:colOff>
      <xdr:row>145</xdr:row>
      <xdr:rowOff>119064</xdr:rowOff>
    </xdr:from>
    <xdr:to>
      <xdr:col>22</xdr:col>
      <xdr:colOff>319044</xdr:colOff>
      <xdr:row>145</xdr:row>
      <xdr:rowOff>125008</xdr:rowOff>
    </xdr:to>
    <xdr:cxnSp macro="">
      <xdr:nvCxnSpPr>
        <xdr:cNvPr id="696" name="Straight Connector 695">
          <a:extLst>
            <a:ext uri="{FF2B5EF4-FFF2-40B4-BE49-F238E27FC236}">
              <a16:creationId xmlns:a16="http://schemas.microsoft.com/office/drawing/2014/main" id="{1EFAE288-B78D-7C45-AE24-DADF0C7597C8}"/>
            </a:ext>
          </a:extLst>
        </xdr:cNvPr>
        <xdr:cNvCxnSpPr/>
      </xdr:nvCxnSpPr>
      <xdr:spPr>
        <a:xfrm>
          <a:off x="9167810" y="22482970"/>
          <a:ext cx="4486234" cy="594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157</xdr:row>
      <xdr:rowOff>119067</xdr:rowOff>
    </xdr:from>
    <xdr:to>
      <xdr:col>22</xdr:col>
      <xdr:colOff>319047</xdr:colOff>
      <xdr:row>157</xdr:row>
      <xdr:rowOff>125011</xdr:rowOff>
    </xdr:to>
    <xdr:cxnSp macro="">
      <xdr:nvCxnSpPr>
        <xdr:cNvPr id="697" name="Straight Connector 696">
          <a:extLst>
            <a:ext uri="{FF2B5EF4-FFF2-40B4-BE49-F238E27FC236}">
              <a16:creationId xmlns:a16="http://schemas.microsoft.com/office/drawing/2014/main" id="{6661D88C-F5AF-1E4A-8C31-24884A63DD09}"/>
            </a:ext>
          </a:extLst>
        </xdr:cNvPr>
        <xdr:cNvCxnSpPr/>
      </xdr:nvCxnSpPr>
      <xdr:spPr>
        <a:xfrm>
          <a:off x="9167813" y="25062661"/>
          <a:ext cx="4486234" cy="594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820734</xdr:colOff>
      <xdr:row>133</xdr:row>
      <xdr:rowOff>128191</xdr:rowOff>
    </xdr:from>
    <xdr:to>
      <xdr:col>28</xdr:col>
      <xdr:colOff>292100</xdr:colOff>
      <xdr:row>133</xdr:row>
      <xdr:rowOff>143666</xdr:rowOff>
    </xdr:to>
    <xdr:cxnSp macro="">
      <xdr:nvCxnSpPr>
        <xdr:cNvPr id="705" name="Straight Connector 704">
          <a:extLst>
            <a:ext uri="{FF2B5EF4-FFF2-40B4-BE49-F238E27FC236}">
              <a16:creationId xmlns:a16="http://schemas.microsoft.com/office/drawing/2014/main" id="{0B82CE78-4C2C-9C41-80DC-50910EF32209}"/>
            </a:ext>
          </a:extLst>
        </xdr:cNvPr>
        <xdr:cNvCxnSpPr>
          <a:cxnSpLocks/>
          <a:endCxn id="539" idx="2"/>
        </xdr:cNvCxnSpPr>
      </xdr:nvCxnSpPr>
      <xdr:spPr>
        <a:xfrm flipV="1">
          <a:off x="14989172" y="20745847"/>
          <a:ext cx="3638553" cy="154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39685</xdr:colOff>
      <xdr:row>155</xdr:row>
      <xdr:rowOff>119064</xdr:rowOff>
    </xdr:from>
    <xdr:to>
      <xdr:col>28</xdr:col>
      <xdr:colOff>337336</xdr:colOff>
      <xdr:row>155</xdr:row>
      <xdr:rowOff>139704</xdr:rowOff>
    </xdr:to>
    <xdr:cxnSp macro="">
      <xdr:nvCxnSpPr>
        <xdr:cNvPr id="710" name="Straight Connector 709">
          <a:extLst>
            <a:ext uri="{FF2B5EF4-FFF2-40B4-BE49-F238E27FC236}">
              <a16:creationId xmlns:a16="http://schemas.microsoft.com/office/drawing/2014/main" id="{12C7DE76-A36A-A545-B812-009220E8B0FE}"/>
            </a:ext>
          </a:extLst>
        </xdr:cNvPr>
        <xdr:cNvCxnSpPr>
          <a:cxnSpLocks/>
        </xdr:cNvCxnSpPr>
      </xdr:nvCxnSpPr>
      <xdr:spPr>
        <a:xfrm flipV="1">
          <a:off x="15041560" y="25419845"/>
          <a:ext cx="3631401" cy="2064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2115</xdr:colOff>
      <xdr:row>148</xdr:row>
      <xdr:rowOff>6551</xdr:rowOff>
    </xdr:from>
    <xdr:to>
      <xdr:col>32</xdr:col>
      <xdr:colOff>735263</xdr:colOff>
      <xdr:row>148</xdr:row>
      <xdr:rowOff>28841</xdr:rowOff>
    </xdr:to>
    <xdr:cxnSp macro="">
      <xdr:nvCxnSpPr>
        <xdr:cNvPr id="712" name="Straight Connector 711">
          <a:extLst>
            <a:ext uri="{FF2B5EF4-FFF2-40B4-BE49-F238E27FC236}">
              <a16:creationId xmlns:a16="http://schemas.microsoft.com/office/drawing/2014/main" id="{CE3365F8-28E1-B247-8E69-009798C66073}"/>
            </a:ext>
          </a:extLst>
        </xdr:cNvPr>
        <xdr:cNvCxnSpPr>
          <a:cxnSpLocks/>
        </xdr:cNvCxnSpPr>
      </xdr:nvCxnSpPr>
      <xdr:spPr>
        <a:xfrm>
          <a:off x="15089715" y="29826151"/>
          <a:ext cx="7438748" cy="2229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178629</xdr:colOff>
      <xdr:row>38</xdr:row>
      <xdr:rowOff>111787</xdr:rowOff>
    </xdr:from>
    <xdr:to>
      <xdr:col>73</xdr:col>
      <xdr:colOff>479419</xdr:colOff>
      <xdr:row>40</xdr:row>
      <xdr:rowOff>80458</xdr:rowOff>
    </xdr:to>
    <xdr:sp macro="" textlink="">
      <xdr:nvSpPr>
        <xdr:cNvPr id="737" name="Triangle 736">
          <a:extLst>
            <a:ext uri="{FF2B5EF4-FFF2-40B4-BE49-F238E27FC236}">
              <a16:creationId xmlns:a16="http://schemas.microsoft.com/office/drawing/2014/main" id="{F83BB7E4-5708-C44F-BF90-539E9194AB4A}"/>
            </a:ext>
          </a:extLst>
        </xdr:cNvPr>
        <xdr:cNvSpPr/>
      </xdr:nvSpPr>
      <xdr:spPr>
        <a:xfrm rot="5400000">
          <a:off x="45057447" y="7543831"/>
          <a:ext cx="406602" cy="300790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73</xdr:col>
      <xdr:colOff>178629</xdr:colOff>
      <xdr:row>42</xdr:row>
      <xdr:rowOff>57625</xdr:rowOff>
    </xdr:from>
    <xdr:to>
      <xdr:col>73</xdr:col>
      <xdr:colOff>479419</xdr:colOff>
      <xdr:row>44</xdr:row>
      <xdr:rowOff>26296</xdr:rowOff>
    </xdr:to>
    <xdr:sp macro="" textlink="">
      <xdr:nvSpPr>
        <xdr:cNvPr id="738" name="Triangle 737">
          <a:extLst>
            <a:ext uri="{FF2B5EF4-FFF2-40B4-BE49-F238E27FC236}">
              <a16:creationId xmlns:a16="http://schemas.microsoft.com/office/drawing/2014/main" id="{953A40C6-E6AD-7641-B22C-1AFC96FF9CFD}"/>
            </a:ext>
          </a:extLst>
        </xdr:cNvPr>
        <xdr:cNvSpPr/>
      </xdr:nvSpPr>
      <xdr:spPr>
        <a:xfrm rot="5400000">
          <a:off x="45057447" y="8365531"/>
          <a:ext cx="406602" cy="300790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73</xdr:col>
      <xdr:colOff>167106</xdr:colOff>
      <xdr:row>25</xdr:row>
      <xdr:rowOff>0</xdr:rowOff>
    </xdr:from>
    <xdr:to>
      <xdr:col>73</xdr:col>
      <xdr:colOff>467896</xdr:colOff>
      <xdr:row>26</xdr:row>
      <xdr:rowOff>189035</xdr:rowOff>
    </xdr:to>
    <xdr:sp macro="" textlink="">
      <xdr:nvSpPr>
        <xdr:cNvPr id="744" name="Triangle 743">
          <a:extLst>
            <a:ext uri="{FF2B5EF4-FFF2-40B4-BE49-F238E27FC236}">
              <a16:creationId xmlns:a16="http://schemas.microsoft.com/office/drawing/2014/main" id="{3A690B76-B1EB-DC43-BF89-95306A5BAA3B}"/>
            </a:ext>
          </a:extLst>
        </xdr:cNvPr>
        <xdr:cNvSpPr/>
      </xdr:nvSpPr>
      <xdr:spPr>
        <a:xfrm rot="5400000">
          <a:off x="45241141" y="5124386"/>
          <a:ext cx="389561" cy="300790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73</xdr:col>
      <xdr:colOff>167105</xdr:colOff>
      <xdr:row>28</xdr:row>
      <xdr:rowOff>167105</xdr:rowOff>
    </xdr:from>
    <xdr:to>
      <xdr:col>73</xdr:col>
      <xdr:colOff>467895</xdr:colOff>
      <xdr:row>30</xdr:row>
      <xdr:rowOff>155613</xdr:rowOff>
    </xdr:to>
    <xdr:sp macro="" textlink="">
      <xdr:nvSpPr>
        <xdr:cNvPr id="745" name="Triangle 744">
          <a:extLst>
            <a:ext uri="{FF2B5EF4-FFF2-40B4-BE49-F238E27FC236}">
              <a16:creationId xmlns:a16="http://schemas.microsoft.com/office/drawing/2014/main" id="{1C72A3DE-3292-F54C-9C86-1AAEEF8123FF}"/>
            </a:ext>
          </a:extLst>
        </xdr:cNvPr>
        <xdr:cNvSpPr/>
      </xdr:nvSpPr>
      <xdr:spPr>
        <a:xfrm rot="5400000">
          <a:off x="45241140" y="5893070"/>
          <a:ext cx="389561" cy="300790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0</xdr:colOff>
      <xdr:row>145</xdr:row>
      <xdr:rowOff>145508</xdr:rowOff>
    </xdr:from>
    <xdr:to>
      <xdr:col>37</xdr:col>
      <xdr:colOff>152400</xdr:colOff>
      <xdr:row>145</xdr:row>
      <xdr:rowOff>152400</xdr:rowOff>
    </xdr:to>
    <xdr:cxnSp macro="">
      <xdr:nvCxnSpPr>
        <xdr:cNvPr id="747" name="Straight Connector 746">
          <a:extLst>
            <a:ext uri="{FF2B5EF4-FFF2-40B4-BE49-F238E27FC236}">
              <a16:creationId xmlns:a16="http://schemas.microsoft.com/office/drawing/2014/main" id="{EBD722F9-B99D-C74B-B2E2-3A79276CF5F8}"/>
            </a:ext>
          </a:extLst>
        </xdr:cNvPr>
        <xdr:cNvCxnSpPr>
          <a:cxnSpLocks/>
        </xdr:cNvCxnSpPr>
      </xdr:nvCxnSpPr>
      <xdr:spPr>
        <a:xfrm>
          <a:off x="19507200" y="25240708"/>
          <a:ext cx="5842000" cy="689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141</xdr:row>
      <xdr:rowOff>118139</xdr:rowOff>
    </xdr:from>
    <xdr:to>
      <xdr:col>37</xdr:col>
      <xdr:colOff>177209</xdr:colOff>
      <xdr:row>141</xdr:row>
      <xdr:rowOff>119860</xdr:rowOff>
    </xdr:to>
    <xdr:cxnSp macro="">
      <xdr:nvCxnSpPr>
        <xdr:cNvPr id="748" name="Straight Connector 747">
          <a:extLst>
            <a:ext uri="{FF2B5EF4-FFF2-40B4-BE49-F238E27FC236}">
              <a16:creationId xmlns:a16="http://schemas.microsoft.com/office/drawing/2014/main" id="{8362677F-E1FA-BF4A-AE1A-7119B8EBBF09}"/>
            </a:ext>
          </a:extLst>
        </xdr:cNvPr>
        <xdr:cNvCxnSpPr>
          <a:cxnSpLocks/>
        </xdr:cNvCxnSpPr>
      </xdr:nvCxnSpPr>
      <xdr:spPr>
        <a:xfrm flipV="1">
          <a:off x="19847442" y="24779767"/>
          <a:ext cx="5966046" cy="172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</xdr:colOff>
      <xdr:row>136</xdr:row>
      <xdr:rowOff>19596</xdr:rowOff>
    </xdr:from>
    <xdr:to>
      <xdr:col>37</xdr:col>
      <xdr:colOff>177209</xdr:colOff>
      <xdr:row>136</xdr:row>
      <xdr:rowOff>29535</xdr:rowOff>
    </xdr:to>
    <xdr:cxnSp macro="">
      <xdr:nvCxnSpPr>
        <xdr:cNvPr id="761" name="Straight Connector 760">
          <a:extLst>
            <a:ext uri="{FF2B5EF4-FFF2-40B4-BE49-F238E27FC236}">
              <a16:creationId xmlns:a16="http://schemas.microsoft.com/office/drawing/2014/main" id="{B5035E87-8BDC-BE43-A5AE-F05852BA9EB4}"/>
            </a:ext>
          </a:extLst>
        </xdr:cNvPr>
        <xdr:cNvCxnSpPr>
          <a:cxnSpLocks/>
        </xdr:cNvCxnSpPr>
      </xdr:nvCxnSpPr>
      <xdr:spPr>
        <a:xfrm>
          <a:off x="19847443" y="23647503"/>
          <a:ext cx="5966045" cy="993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19533</xdr:colOff>
      <xdr:row>53</xdr:row>
      <xdr:rowOff>15966</xdr:rowOff>
    </xdr:from>
    <xdr:to>
      <xdr:col>56</xdr:col>
      <xdr:colOff>442867</xdr:colOff>
      <xdr:row>53</xdr:row>
      <xdr:rowOff>37763</xdr:rowOff>
    </xdr:to>
    <xdr:cxnSp macro="">
      <xdr:nvCxnSpPr>
        <xdr:cNvPr id="764" name="Straight Connector 763">
          <a:extLst>
            <a:ext uri="{FF2B5EF4-FFF2-40B4-BE49-F238E27FC236}">
              <a16:creationId xmlns:a16="http://schemas.microsoft.com/office/drawing/2014/main" id="{D21F983F-0FF0-D74E-8279-127255F8FEE3}"/>
            </a:ext>
          </a:extLst>
        </xdr:cNvPr>
        <xdr:cNvCxnSpPr>
          <a:cxnSpLocks/>
        </xdr:cNvCxnSpPr>
      </xdr:nvCxnSpPr>
      <xdr:spPr>
        <a:xfrm>
          <a:off x="27920456" y="11445966"/>
          <a:ext cx="6988257" cy="2179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39077</xdr:colOff>
      <xdr:row>57</xdr:row>
      <xdr:rowOff>19539</xdr:rowOff>
    </xdr:from>
    <xdr:to>
      <xdr:col>56</xdr:col>
      <xdr:colOff>312904</xdr:colOff>
      <xdr:row>57</xdr:row>
      <xdr:rowOff>20832</xdr:rowOff>
    </xdr:to>
    <xdr:cxnSp macro="">
      <xdr:nvCxnSpPr>
        <xdr:cNvPr id="767" name="Straight Connector 766">
          <a:extLst>
            <a:ext uri="{FF2B5EF4-FFF2-40B4-BE49-F238E27FC236}">
              <a16:creationId xmlns:a16="http://schemas.microsoft.com/office/drawing/2014/main" id="{D2F916A9-74CD-5844-A516-6883CCDC03C0}"/>
            </a:ext>
          </a:extLst>
        </xdr:cNvPr>
        <xdr:cNvCxnSpPr>
          <a:cxnSpLocks/>
        </xdr:cNvCxnSpPr>
      </xdr:nvCxnSpPr>
      <xdr:spPr>
        <a:xfrm>
          <a:off x="27940000" y="12309231"/>
          <a:ext cx="6838750" cy="1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801077</xdr:colOff>
      <xdr:row>59</xdr:row>
      <xdr:rowOff>39078</xdr:rowOff>
    </xdr:from>
    <xdr:to>
      <xdr:col>52</xdr:col>
      <xdr:colOff>214923</xdr:colOff>
      <xdr:row>59</xdr:row>
      <xdr:rowOff>41632</xdr:rowOff>
    </xdr:to>
    <xdr:cxnSp macro="">
      <xdr:nvCxnSpPr>
        <xdr:cNvPr id="768" name="Straight Connector 767">
          <a:extLst>
            <a:ext uri="{FF2B5EF4-FFF2-40B4-BE49-F238E27FC236}">
              <a16:creationId xmlns:a16="http://schemas.microsoft.com/office/drawing/2014/main" id="{1A7C4C46-FC05-9B4D-AE63-FA8FE1F58125}"/>
            </a:ext>
          </a:extLst>
        </xdr:cNvPr>
        <xdr:cNvCxnSpPr>
          <a:cxnSpLocks/>
        </xdr:cNvCxnSpPr>
      </xdr:nvCxnSpPr>
      <xdr:spPr>
        <a:xfrm flipV="1">
          <a:off x="26240154" y="12758616"/>
          <a:ext cx="8440615" cy="255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63</xdr:row>
      <xdr:rowOff>88604</xdr:rowOff>
    </xdr:from>
    <xdr:to>
      <xdr:col>54</xdr:col>
      <xdr:colOff>276087</xdr:colOff>
      <xdr:row>63</xdr:row>
      <xdr:rowOff>107010</xdr:rowOff>
    </xdr:to>
    <xdr:cxnSp macro="">
      <xdr:nvCxnSpPr>
        <xdr:cNvPr id="771" name="Straight Connector 770">
          <a:extLst>
            <a:ext uri="{FF2B5EF4-FFF2-40B4-BE49-F238E27FC236}">
              <a16:creationId xmlns:a16="http://schemas.microsoft.com/office/drawing/2014/main" id="{4F2E86F7-9A12-AE4C-A923-4681A42D865B}"/>
            </a:ext>
          </a:extLst>
        </xdr:cNvPr>
        <xdr:cNvCxnSpPr>
          <a:cxnSpLocks/>
        </xdr:cNvCxnSpPr>
      </xdr:nvCxnSpPr>
      <xdr:spPr>
        <a:xfrm>
          <a:off x="26463256" y="11518604"/>
          <a:ext cx="6064924" cy="184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69</xdr:row>
      <xdr:rowOff>118139</xdr:rowOff>
    </xdr:from>
    <xdr:to>
      <xdr:col>54</xdr:col>
      <xdr:colOff>331304</xdr:colOff>
      <xdr:row>69</xdr:row>
      <xdr:rowOff>118139</xdr:rowOff>
    </xdr:to>
    <xdr:cxnSp macro="">
      <xdr:nvCxnSpPr>
        <xdr:cNvPr id="772" name="Straight Connector 771">
          <a:extLst>
            <a:ext uri="{FF2B5EF4-FFF2-40B4-BE49-F238E27FC236}">
              <a16:creationId xmlns:a16="http://schemas.microsoft.com/office/drawing/2014/main" id="{6620A747-3501-504C-AFC1-3FA56E3D9161}"/>
            </a:ext>
          </a:extLst>
        </xdr:cNvPr>
        <xdr:cNvCxnSpPr>
          <a:cxnSpLocks/>
        </xdr:cNvCxnSpPr>
      </xdr:nvCxnSpPr>
      <xdr:spPr>
        <a:xfrm>
          <a:off x="26463256" y="12788604"/>
          <a:ext cx="6120141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76</xdr:row>
      <xdr:rowOff>147674</xdr:rowOff>
    </xdr:from>
    <xdr:to>
      <xdr:col>54</xdr:col>
      <xdr:colOff>349710</xdr:colOff>
      <xdr:row>76</xdr:row>
      <xdr:rowOff>147674</xdr:rowOff>
    </xdr:to>
    <xdr:cxnSp macro="">
      <xdr:nvCxnSpPr>
        <xdr:cNvPr id="773" name="Straight Connector 772">
          <a:extLst>
            <a:ext uri="{FF2B5EF4-FFF2-40B4-BE49-F238E27FC236}">
              <a16:creationId xmlns:a16="http://schemas.microsoft.com/office/drawing/2014/main" id="{681A8F99-9CAB-674D-8B98-8F794A7069EA}"/>
            </a:ext>
          </a:extLst>
        </xdr:cNvPr>
        <xdr:cNvCxnSpPr>
          <a:cxnSpLocks/>
        </xdr:cNvCxnSpPr>
      </xdr:nvCxnSpPr>
      <xdr:spPr>
        <a:xfrm>
          <a:off x="26463256" y="13645116"/>
          <a:ext cx="6138547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80</xdr:row>
      <xdr:rowOff>113858</xdr:rowOff>
    </xdr:from>
    <xdr:to>
      <xdr:col>54</xdr:col>
      <xdr:colOff>331304</xdr:colOff>
      <xdr:row>80</xdr:row>
      <xdr:rowOff>128872</xdr:rowOff>
    </xdr:to>
    <xdr:cxnSp macro="">
      <xdr:nvCxnSpPr>
        <xdr:cNvPr id="774" name="Straight Connector 773">
          <a:extLst>
            <a:ext uri="{FF2B5EF4-FFF2-40B4-BE49-F238E27FC236}">
              <a16:creationId xmlns:a16="http://schemas.microsoft.com/office/drawing/2014/main" id="{1038A3AF-77F8-BC47-9794-578DF75637F8}"/>
            </a:ext>
          </a:extLst>
        </xdr:cNvPr>
        <xdr:cNvCxnSpPr>
          <a:cxnSpLocks/>
        </xdr:cNvCxnSpPr>
      </xdr:nvCxnSpPr>
      <xdr:spPr>
        <a:xfrm flipV="1">
          <a:off x="26463256" y="14438277"/>
          <a:ext cx="6120141" cy="1501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19</xdr:row>
      <xdr:rowOff>203185</xdr:rowOff>
    </xdr:from>
    <xdr:to>
      <xdr:col>43</xdr:col>
      <xdr:colOff>242023</xdr:colOff>
      <xdr:row>20</xdr:row>
      <xdr:rowOff>17289</xdr:rowOff>
    </xdr:to>
    <xdr:cxnSp macro="">
      <xdr:nvCxnSpPr>
        <xdr:cNvPr id="787" name="Straight Connector 786">
          <a:extLst>
            <a:ext uri="{FF2B5EF4-FFF2-40B4-BE49-F238E27FC236}">
              <a16:creationId xmlns:a16="http://schemas.microsoft.com/office/drawing/2014/main" id="{22668A1B-18A2-274F-8647-FA2C98100A47}"/>
            </a:ext>
          </a:extLst>
        </xdr:cNvPr>
        <xdr:cNvCxnSpPr>
          <a:endCxn id="927" idx="3"/>
        </xdr:cNvCxnSpPr>
      </xdr:nvCxnSpPr>
      <xdr:spPr>
        <a:xfrm flipV="1">
          <a:off x="24962069" y="4670082"/>
          <a:ext cx="4402368" cy="3306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14</xdr:row>
      <xdr:rowOff>8833</xdr:rowOff>
    </xdr:from>
    <xdr:to>
      <xdr:col>50</xdr:col>
      <xdr:colOff>276087</xdr:colOff>
      <xdr:row>14</xdr:row>
      <xdr:rowOff>8834</xdr:rowOff>
    </xdr:to>
    <xdr:cxnSp macro="">
      <xdr:nvCxnSpPr>
        <xdr:cNvPr id="788" name="Straight Connector 787">
          <a:extLst>
            <a:ext uri="{FF2B5EF4-FFF2-40B4-BE49-F238E27FC236}">
              <a16:creationId xmlns:a16="http://schemas.microsoft.com/office/drawing/2014/main" id="{0943ED94-A3F2-9F4B-A002-014082285425}"/>
            </a:ext>
          </a:extLst>
        </xdr:cNvPr>
        <xdr:cNvCxnSpPr/>
      </xdr:nvCxnSpPr>
      <xdr:spPr>
        <a:xfrm flipV="1">
          <a:off x="29870400" y="3378566"/>
          <a:ext cx="5254487" cy="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18</xdr:row>
      <xdr:rowOff>3831</xdr:rowOff>
    </xdr:from>
    <xdr:to>
      <xdr:col>50</xdr:col>
      <xdr:colOff>276087</xdr:colOff>
      <xdr:row>18</xdr:row>
      <xdr:rowOff>3832</xdr:rowOff>
    </xdr:to>
    <xdr:cxnSp macro="">
      <xdr:nvCxnSpPr>
        <xdr:cNvPr id="790" name="Straight Connector 789">
          <a:extLst>
            <a:ext uri="{FF2B5EF4-FFF2-40B4-BE49-F238E27FC236}">
              <a16:creationId xmlns:a16="http://schemas.microsoft.com/office/drawing/2014/main" id="{725987FA-E864-934C-8513-3CC05D6A681D}"/>
            </a:ext>
          </a:extLst>
        </xdr:cNvPr>
        <xdr:cNvCxnSpPr/>
      </xdr:nvCxnSpPr>
      <xdr:spPr>
        <a:xfrm flipV="1">
          <a:off x="29870400" y="4254098"/>
          <a:ext cx="5254487" cy="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147248</xdr:colOff>
      <xdr:row>13</xdr:row>
      <xdr:rowOff>11777</xdr:rowOff>
    </xdr:from>
    <xdr:to>
      <xdr:col>50</xdr:col>
      <xdr:colOff>448038</xdr:colOff>
      <xdr:row>14</xdr:row>
      <xdr:rowOff>200075</xdr:rowOff>
    </xdr:to>
    <xdr:sp macro="" textlink="">
      <xdr:nvSpPr>
        <xdr:cNvPr id="791" name="Triangle 790">
          <a:extLst>
            <a:ext uri="{FF2B5EF4-FFF2-40B4-BE49-F238E27FC236}">
              <a16:creationId xmlns:a16="http://schemas.microsoft.com/office/drawing/2014/main" id="{0D01712A-E0E2-BE45-ADDB-FC7FAB05E4D0}"/>
            </a:ext>
          </a:extLst>
        </xdr:cNvPr>
        <xdr:cNvSpPr/>
      </xdr:nvSpPr>
      <xdr:spPr>
        <a:xfrm rot="5400000">
          <a:off x="34942227" y="3215198"/>
          <a:ext cx="408431" cy="300790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50</xdr:col>
      <xdr:colOff>128842</xdr:colOff>
      <xdr:row>16</xdr:row>
      <xdr:rowOff>213504</xdr:rowOff>
    </xdr:from>
    <xdr:to>
      <xdr:col>50</xdr:col>
      <xdr:colOff>429632</xdr:colOff>
      <xdr:row>18</xdr:row>
      <xdr:rowOff>181669</xdr:rowOff>
    </xdr:to>
    <xdr:sp macro="" textlink="">
      <xdr:nvSpPr>
        <xdr:cNvPr id="792" name="Triangle 791">
          <a:extLst>
            <a:ext uri="{FF2B5EF4-FFF2-40B4-BE49-F238E27FC236}">
              <a16:creationId xmlns:a16="http://schemas.microsoft.com/office/drawing/2014/main" id="{44EA5CD8-D08F-4A45-B99A-78B8BFCBFC5E}"/>
            </a:ext>
          </a:extLst>
        </xdr:cNvPr>
        <xdr:cNvSpPr/>
      </xdr:nvSpPr>
      <xdr:spPr>
        <a:xfrm rot="5400000">
          <a:off x="34923821" y="4077325"/>
          <a:ext cx="408432" cy="300790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63</xdr:col>
      <xdr:colOff>625299</xdr:colOff>
      <xdr:row>31</xdr:row>
      <xdr:rowOff>55218</xdr:rowOff>
    </xdr:from>
    <xdr:to>
      <xdr:col>64</xdr:col>
      <xdr:colOff>68883</xdr:colOff>
      <xdr:row>32</xdr:row>
      <xdr:rowOff>188898</xdr:rowOff>
    </xdr:to>
    <xdr:sp macro="" textlink="">
      <xdr:nvSpPr>
        <xdr:cNvPr id="794" name="Triangle 793">
          <a:extLst>
            <a:ext uri="{FF2B5EF4-FFF2-40B4-BE49-F238E27FC236}">
              <a16:creationId xmlns:a16="http://schemas.microsoft.com/office/drawing/2014/main" id="{50358EBD-8BD0-B440-802B-1BDCA4EDEB44}"/>
            </a:ext>
          </a:extLst>
        </xdr:cNvPr>
        <xdr:cNvSpPr/>
      </xdr:nvSpPr>
      <xdr:spPr>
        <a:xfrm rot="5400000">
          <a:off x="36835656" y="6956212"/>
          <a:ext cx="339626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63</xdr:col>
      <xdr:colOff>165654</xdr:colOff>
      <xdr:row>44</xdr:row>
      <xdr:rowOff>55216</xdr:rowOff>
    </xdr:from>
    <xdr:to>
      <xdr:col>63</xdr:col>
      <xdr:colOff>433022</xdr:colOff>
      <xdr:row>45</xdr:row>
      <xdr:rowOff>188897</xdr:rowOff>
    </xdr:to>
    <xdr:sp macro="" textlink="">
      <xdr:nvSpPr>
        <xdr:cNvPr id="796" name="Triangle 795">
          <a:extLst>
            <a:ext uri="{FF2B5EF4-FFF2-40B4-BE49-F238E27FC236}">
              <a16:creationId xmlns:a16="http://schemas.microsoft.com/office/drawing/2014/main" id="{91ACA371-EB32-B842-9BF1-A538C53B50C7}"/>
            </a:ext>
          </a:extLst>
        </xdr:cNvPr>
        <xdr:cNvSpPr/>
      </xdr:nvSpPr>
      <xdr:spPr>
        <a:xfrm rot="5400000">
          <a:off x="36565541" y="8933590"/>
          <a:ext cx="354550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57</xdr:col>
      <xdr:colOff>18406</xdr:colOff>
      <xdr:row>45</xdr:row>
      <xdr:rowOff>18406</xdr:rowOff>
    </xdr:from>
    <xdr:to>
      <xdr:col>63</xdr:col>
      <xdr:colOff>147247</xdr:colOff>
      <xdr:row>45</xdr:row>
      <xdr:rowOff>36812</xdr:rowOff>
    </xdr:to>
    <xdr:cxnSp macro="">
      <xdr:nvCxnSpPr>
        <xdr:cNvPr id="799" name="Straight Connector 798">
          <a:extLst>
            <a:ext uri="{FF2B5EF4-FFF2-40B4-BE49-F238E27FC236}">
              <a16:creationId xmlns:a16="http://schemas.microsoft.com/office/drawing/2014/main" id="{54D3780E-24DB-494E-BB60-3FEB74D0A16B}"/>
            </a:ext>
          </a:extLst>
        </xdr:cNvPr>
        <xdr:cNvCxnSpPr>
          <a:cxnSpLocks/>
        </xdr:cNvCxnSpPr>
      </xdr:nvCxnSpPr>
      <xdr:spPr>
        <a:xfrm>
          <a:off x="31492319" y="9074058"/>
          <a:ext cx="5098406" cy="184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235787</xdr:colOff>
      <xdr:row>52</xdr:row>
      <xdr:rowOff>72221</xdr:rowOff>
    </xdr:from>
    <xdr:to>
      <xdr:col>56</xdr:col>
      <xdr:colOff>503155</xdr:colOff>
      <xdr:row>53</xdr:row>
      <xdr:rowOff>203997</xdr:rowOff>
    </xdr:to>
    <xdr:sp macro="" textlink="">
      <xdr:nvSpPr>
        <xdr:cNvPr id="805" name="Triangle 804">
          <a:extLst>
            <a:ext uri="{FF2B5EF4-FFF2-40B4-BE49-F238E27FC236}">
              <a16:creationId xmlns:a16="http://schemas.microsoft.com/office/drawing/2014/main" id="{9FE141B4-056E-854B-91D6-AA9ED5E8FE58}"/>
            </a:ext>
          </a:extLst>
        </xdr:cNvPr>
        <xdr:cNvSpPr/>
      </xdr:nvSpPr>
      <xdr:spPr>
        <a:xfrm rot="5400000">
          <a:off x="34661967" y="11326964"/>
          <a:ext cx="346699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56</xdr:col>
      <xdr:colOff>197931</xdr:colOff>
      <xdr:row>55</xdr:row>
      <xdr:rowOff>204273</xdr:rowOff>
    </xdr:from>
    <xdr:to>
      <xdr:col>56</xdr:col>
      <xdr:colOff>465299</xdr:colOff>
      <xdr:row>57</xdr:row>
      <xdr:rowOff>121126</xdr:rowOff>
    </xdr:to>
    <xdr:sp macro="" textlink="">
      <xdr:nvSpPr>
        <xdr:cNvPr id="809" name="Triangle 808">
          <a:extLst>
            <a:ext uri="{FF2B5EF4-FFF2-40B4-BE49-F238E27FC236}">
              <a16:creationId xmlns:a16="http://schemas.microsoft.com/office/drawing/2014/main" id="{5D612DF8-73B4-9746-8C49-399F75EF48D5}"/>
            </a:ext>
          </a:extLst>
        </xdr:cNvPr>
        <xdr:cNvSpPr/>
      </xdr:nvSpPr>
      <xdr:spPr>
        <a:xfrm rot="5400000">
          <a:off x="34624111" y="12103785"/>
          <a:ext cx="346699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42</xdr:col>
      <xdr:colOff>0</xdr:colOff>
      <xdr:row>91</xdr:row>
      <xdr:rowOff>104081</xdr:rowOff>
    </xdr:from>
    <xdr:to>
      <xdr:col>54</xdr:col>
      <xdr:colOff>236280</xdr:colOff>
      <xdr:row>91</xdr:row>
      <xdr:rowOff>140004</xdr:rowOff>
    </xdr:to>
    <xdr:cxnSp macro="">
      <xdr:nvCxnSpPr>
        <xdr:cNvPr id="824" name="Straight Connector 823">
          <a:extLst>
            <a:ext uri="{FF2B5EF4-FFF2-40B4-BE49-F238E27FC236}">
              <a16:creationId xmlns:a16="http://schemas.microsoft.com/office/drawing/2014/main" id="{FB6461D1-F02F-7F43-B7A2-F497EA38FAD6}"/>
            </a:ext>
          </a:extLst>
        </xdr:cNvPr>
        <xdr:cNvCxnSpPr>
          <a:cxnSpLocks/>
          <a:endCxn id="844" idx="3"/>
        </xdr:cNvCxnSpPr>
      </xdr:nvCxnSpPr>
      <xdr:spPr>
        <a:xfrm flipV="1">
          <a:off x="26822400" y="16487081"/>
          <a:ext cx="6103680" cy="359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129</xdr:row>
      <xdr:rowOff>167105</xdr:rowOff>
    </xdr:from>
    <xdr:to>
      <xdr:col>48</xdr:col>
      <xdr:colOff>331303</xdr:colOff>
      <xdr:row>129</xdr:row>
      <xdr:rowOff>182119</xdr:rowOff>
    </xdr:to>
    <xdr:cxnSp macro="">
      <xdr:nvCxnSpPr>
        <xdr:cNvPr id="827" name="Straight Connector 826">
          <a:extLst>
            <a:ext uri="{FF2B5EF4-FFF2-40B4-BE49-F238E27FC236}">
              <a16:creationId xmlns:a16="http://schemas.microsoft.com/office/drawing/2014/main" id="{64D4001F-864E-F844-B337-95C304030078}"/>
            </a:ext>
          </a:extLst>
        </xdr:cNvPr>
        <xdr:cNvCxnSpPr>
          <a:cxnSpLocks/>
        </xdr:cNvCxnSpPr>
      </xdr:nvCxnSpPr>
      <xdr:spPr>
        <a:xfrm flipV="1">
          <a:off x="25065789" y="21690263"/>
          <a:ext cx="6179988" cy="1501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133</xdr:row>
      <xdr:rowOff>167105</xdr:rowOff>
    </xdr:from>
    <xdr:to>
      <xdr:col>48</xdr:col>
      <xdr:colOff>331303</xdr:colOff>
      <xdr:row>133</xdr:row>
      <xdr:rowOff>182119</xdr:rowOff>
    </xdr:to>
    <xdr:cxnSp macro="">
      <xdr:nvCxnSpPr>
        <xdr:cNvPr id="828" name="Straight Connector 827">
          <a:extLst>
            <a:ext uri="{FF2B5EF4-FFF2-40B4-BE49-F238E27FC236}">
              <a16:creationId xmlns:a16="http://schemas.microsoft.com/office/drawing/2014/main" id="{013BD1E4-FBF1-054E-A076-64D932D8FEBD}"/>
            </a:ext>
          </a:extLst>
        </xdr:cNvPr>
        <xdr:cNvCxnSpPr>
          <a:cxnSpLocks/>
        </xdr:cNvCxnSpPr>
      </xdr:nvCxnSpPr>
      <xdr:spPr>
        <a:xfrm flipV="1">
          <a:off x="25065789" y="22492368"/>
          <a:ext cx="6179988" cy="1501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153</xdr:row>
      <xdr:rowOff>114813</xdr:rowOff>
    </xdr:from>
    <xdr:to>
      <xdr:col>36</xdr:col>
      <xdr:colOff>755953</xdr:colOff>
      <xdr:row>153</xdr:row>
      <xdr:rowOff>116470</xdr:rowOff>
    </xdr:to>
    <xdr:cxnSp macro="">
      <xdr:nvCxnSpPr>
        <xdr:cNvPr id="835" name="Straight Connector 834">
          <a:extLst>
            <a:ext uri="{FF2B5EF4-FFF2-40B4-BE49-F238E27FC236}">
              <a16:creationId xmlns:a16="http://schemas.microsoft.com/office/drawing/2014/main" id="{663BEB15-EB54-4640-988B-814A2B6F4AFD}"/>
            </a:ext>
          </a:extLst>
        </xdr:cNvPr>
        <xdr:cNvCxnSpPr>
          <a:cxnSpLocks/>
        </xdr:cNvCxnSpPr>
      </xdr:nvCxnSpPr>
      <xdr:spPr>
        <a:xfrm flipV="1">
          <a:off x="19913600" y="28241080"/>
          <a:ext cx="5734353" cy="165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157</xdr:row>
      <xdr:rowOff>83459</xdr:rowOff>
    </xdr:from>
    <xdr:to>
      <xdr:col>36</xdr:col>
      <xdr:colOff>786191</xdr:colOff>
      <xdr:row>157</xdr:row>
      <xdr:rowOff>118969</xdr:rowOff>
    </xdr:to>
    <xdr:cxnSp macro="">
      <xdr:nvCxnSpPr>
        <xdr:cNvPr id="836" name="Straight Connector 835">
          <a:extLst>
            <a:ext uri="{FF2B5EF4-FFF2-40B4-BE49-F238E27FC236}">
              <a16:creationId xmlns:a16="http://schemas.microsoft.com/office/drawing/2014/main" id="{BA2312C4-5CF8-FA47-A34B-3AE31E899A71}"/>
            </a:ext>
          </a:extLst>
        </xdr:cNvPr>
        <xdr:cNvCxnSpPr>
          <a:cxnSpLocks/>
        </xdr:cNvCxnSpPr>
      </xdr:nvCxnSpPr>
      <xdr:spPr>
        <a:xfrm flipV="1">
          <a:off x="19913600" y="29090259"/>
          <a:ext cx="5764591" cy="3551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159</xdr:row>
      <xdr:rowOff>190500</xdr:rowOff>
    </xdr:from>
    <xdr:to>
      <xdr:col>32</xdr:col>
      <xdr:colOff>660400</xdr:colOff>
      <xdr:row>160</xdr:row>
      <xdr:rowOff>25400</xdr:rowOff>
    </xdr:to>
    <xdr:cxnSp macro="">
      <xdr:nvCxnSpPr>
        <xdr:cNvPr id="837" name="Straight Connector 836">
          <a:extLst>
            <a:ext uri="{FF2B5EF4-FFF2-40B4-BE49-F238E27FC236}">
              <a16:creationId xmlns:a16="http://schemas.microsoft.com/office/drawing/2014/main" id="{55A2FDEC-F2F4-6C4C-9A4F-F19C08B6C54A}"/>
            </a:ext>
          </a:extLst>
        </xdr:cNvPr>
        <xdr:cNvCxnSpPr>
          <a:cxnSpLocks/>
        </xdr:cNvCxnSpPr>
      </xdr:nvCxnSpPr>
      <xdr:spPr>
        <a:xfrm flipV="1">
          <a:off x="14859000" y="33274000"/>
          <a:ext cx="7264400" cy="50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179065</xdr:colOff>
      <xdr:row>58</xdr:row>
      <xdr:rowOff>70011</xdr:rowOff>
    </xdr:from>
    <xdr:to>
      <xdr:col>52</xdr:col>
      <xdr:colOff>446433</xdr:colOff>
      <xdr:row>59</xdr:row>
      <xdr:rowOff>186022</xdr:rowOff>
    </xdr:to>
    <xdr:sp macro="" textlink="">
      <xdr:nvSpPr>
        <xdr:cNvPr id="839" name="Triangle 838">
          <a:extLst>
            <a:ext uri="{FF2B5EF4-FFF2-40B4-BE49-F238E27FC236}">
              <a16:creationId xmlns:a16="http://schemas.microsoft.com/office/drawing/2014/main" id="{A0E522B3-8617-F440-B513-7E0180855CC0}"/>
            </a:ext>
          </a:extLst>
        </xdr:cNvPr>
        <xdr:cNvSpPr/>
      </xdr:nvSpPr>
      <xdr:spPr>
        <a:xfrm rot="5400000">
          <a:off x="37832405" y="13196188"/>
          <a:ext cx="341333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54</xdr:col>
      <xdr:colOff>265815</xdr:colOff>
      <xdr:row>62</xdr:row>
      <xdr:rowOff>118139</xdr:rowOff>
    </xdr:from>
    <xdr:to>
      <xdr:col>54</xdr:col>
      <xdr:colOff>533183</xdr:colOff>
      <xdr:row>64</xdr:row>
      <xdr:rowOff>30950</xdr:rowOff>
    </xdr:to>
    <xdr:sp macro="" textlink="">
      <xdr:nvSpPr>
        <xdr:cNvPr id="840" name="Triangle 839">
          <a:extLst>
            <a:ext uri="{FF2B5EF4-FFF2-40B4-BE49-F238E27FC236}">
              <a16:creationId xmlns:a16="http://schemas.microsoft.com/office/drawing/2014/main" id="{3B4FDE8A-9744-B24C-A689-EF15FA23B8FD}"/>
            </a:ext>
          </a:extLst>
        </xdr:cNvPr>
        <xdr:cNvSpPr/>
      </xdr:nvSpPr>
      <xdr:spPr>
        <a:xfrm rot="5400000">
          <a:off x="32488442" y="11370861"/>
          <a:ext cx="326299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54</xdr:col>
      <xdr:colOff>236280</xdr:colOff>
      <xdr:row>68</xdr:row>
      <xdr:rowOff>114005</xdr:rowOff>
    </xdr:from>
    <xdr:to>
      <xdr:col>54</xdr:col>
      <xdr:colOff>503648</xdr:colOff>
      <xdr:row>70</xdr:row>
      <xdr:rowOff>26816</xdr:rowOff>
    </xdr:to>
    <xdr:sp macro="" textlink="">
      <xdr:nvSpPr>
        <xdr:cNvPr id="841" name="Triangle 840">
          <a:extLst>
            <a:ext uri="{FF2B5EF4-FFF2-40B4-BE49-F238E27FC236}">
              <a16:creationId xmlns:a16="http://schemas.microsoft.com/office/drawing/2014/main" id="{69B81353-BF0C-2347-A0D1-5181DBFEC5EA}"/>
            </a:ext>
          </a:extLst>
        </xdr:cNvPr>
        <xdr:cNvSpPr/>
      </xdr:nvSpPr>
      <xdr:spPr>
        <a:xfrm rot="5400000">
          <a:off x="32874758" y="13398727"/>
          <a:ext cx="370011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54</xdr:col>
      <xdr:colOff>236280</xdr:colOff>
      <xdr:row>76</xdr:row>
      <xdr:rowOff>0</xdr:rowOff>
    </xdr:from>
    <xdr:to>
      <xdr:col>54</xdr:col>
      <xdr:colOff>503648</xdr:colOff>
      <xdr:row>77</xdr:row>
      <xdr:rowOff>119555</xdr:rowOff>
    </xdr:to>
    <xdr:sp macro="" textlink="">
      <xdr:nvSpPr>
        <xdr:cNvPr id="842" name="Triangle 841">
          <a:extLst>
            <a:ext uri="{FF2B5EF4-FFF2-40B4-BE49-F238E27FC236}">
              <a16:creationId xmlns:a16="http://schemas.microsoft.com/office/drawing/2014/main" id="{A491F988-B78B-CF4F-B14E-9F9E81A621AE}"/>
            </a:ext>
          </a:extLst>
        </xdr:cNvPr>
        <xdr:cNvSpPr/>
      </xdr:nvSpPr>
      <xdr:spPr>
        <a:xfrm rot="5400000">
          <a:off x="32458907" y="13526908"/>
          <a:ext cx="326299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54</xdr:col>
      <xdr:colOff>236280</xdr:colOff>
      <xdr:row>79</xdr:row>
      <xdr:rowOff>147675</xdr:rowOff>
    </xdr:from>
    <xdr:to>
      <xdr:col>54</xdr:col>
      <xdr:colOff>503648</xdr:colOff>
      <xdr:row>81</xdr:row>
      <xdr:rowOff>60485</xdr:rowOff>
    </xdr:to>
    <xdr:sp macro="" textlink="">
      <xdr:nvSpPr>
        <xdr:cNvPr id="843" name="Triangle 842">
          <a:extLst>
            <a:ext uri="{FF2B5EF4-FFF2-40B4-BE49-F238E27FC236}">
              <a16:creationId xmlns:a16="http://schemas.microsoft.com/office/drawing/2014/main" id="{682CE907-FA97-D54C-BDD5-2818ABC8F1EA}"/>
            </a:ext>
          </a:extLst>
        </xdr:cNvPr>
        <xdr:cNvSpPr/>
      </xdr:nvSpPr>
      <xdr:spPr>
        <a:xfrm rot="5400000">
          <a:off x="32458907" y="14294815"/>
          <a:ext cx="326299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54</xdr:col>
      <xdr:colOff>236280</xdr:colOff>
      <xdr:row>90</xdr:row>
      <xdr:rowOff>147675</xdr:rowOff>
    </xdr:from>
    <xdr:to>
      <xdr:col>54</xdr:col>
      <xdr:colOff>503648</xdr:colOff>
      <xdr:row>92</xdr:row>
      <xdr:rowOff>60485</xdr:rowOff>
    </xdr:to>
    <xdr:sp macro="" textlink="">
      <xdr:nvSpPr>
        <xdr:cNvPr id="844" name="Triangle 843">
          <a:extLst>
            <a:ext uri="{FF2B5EF4-FFF2-40B4-BE49-F238E27FC236}">
              <a16:creationId xmlns:a16="http://schemas.microsoft.com/office/drawing/2014/main" id="{5DD0556C-BA3D-AE47-80B6-14C37F95B1B0}"/>
            </a:ext>
          </a:extLst>
        </xdr:cNvPr>
        <xdr:cNvSpPr/>
      </xdr:nvSpPr>
      <xdr:spPr>
        <a:xfrm rot="5400000">
          <a:off x="32458907" y="15328536"/>
          <a:ext cx="326299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51</xdr:col>
      <xdr:colOff>8</xdr:colOff>
      <xdr:row>99</xdr:row>
      <xdr:rowOff>128137</xdr:rowOff>
    </xdr:from>
    <xdr:to>
      <xdr:col>58</xdr:col>
      <xdr:colOff>331312</xdr:colOff>
      <xdr:row>99</xdr:row>
      <xdr:rowOff>143151</xdr:rowOff>
    </xdr:to>
    <xdr:cxnSp macro="">
      <xdr:nvCxnSpPr>
        <xdr:cNvPr id="848" name="Straight Connector 847">
          <a:extLst>
            <a:ext uri="{FF2B5EF4-FFF2-40B4-BE49-F238E27FC236}">
              <a16:creationId xmlns:a16="http://schemas.microsoft.com/office/drawing/2014/main" id="{4DEFA8EE-2364-094A-A5F9-412DF8BD33E6}"/>
            </a:ext>
          </a:extLst>
        </xdr:cNvPr>
        <xdr:cNvCxnSpPr>
          <a:cxnSpLocks/>
        </xdr:cNvCxnSpPr>
      </xdr:nvCxnSpPr>
      <xdr:spPr>
        <a:xfrm flipV="1">
          <a:off x="31183393" y="21131983"/>
          <a:ext cx="6075611" cy="1501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</xdr:colOff>
      <xdr:row>113</xdr:row>
      <xdr:rowOff>30557</xdr:rowOff>
    </xdr:from>
    <xdr:to>
      <xdr:col>58</xdr:col>
      <xdr:colOff>331308</xdr:colOff>
      <xdr:row>113</xdr:row>
      <xdr:rowOff>45571</xdr:rowOff>
    </xdr:to>
    <xdr:cxnSp macro="">
      <xdr:nvCxnSpPr>
        <xdr:cNvPr id="849" name="Straight Connector 848">
          <a:extLst>
            <a:ext uri="{FF2B5EF4-FFF2-40B4-BE49-F238E27FC236}">
              <a16:creationId xmlns:a16="http://schemas.microsoft.com/office/drawing/2014/main" id="{22FC623F-8B90-7442-8ECA-28FAB140772F}"/>
            </a:ext>
          </a:extLst>
        </xdr:cNvPr>
        <xdr:cNvCxnSpPr>
          <a:cxnSpLocks/>
        </xdr:cNvCxnSpPr>
      </xdr:nvCxnSpPr>
      <xdr:spPr>
        <a:xfrm flipV="1">
          <a:off x="31183389" y="23984711"/>
          <a:ext cx="6075611" cy="1501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</xdr:colOff>
      <xdr:row>117</xdr:row>
      <xdr:rowOff>8660</xdr:rowOff>
    </xdr:from>
    <xdr:to>
      <xdr:col>58</xdr:col>
      <xdr:colOff>331310</xdr:colOff>
      <xdr:row>117</xdr:row>
      <xdr:rowOff>23674</xdr:rowOff>
    </xdr:to>
    <xdr:cxnSp macro="">
      <xdr:nvCxnSpPr>
        <xdr:cNvPr id="850" name="Straight Connector 849">
          <a:extLst>
            <a:ext uri="{FF2B5EF4-FFF2-40B4-BE49-F238E27FC236}">
              <a16:creationId xmlns:a16="http://schemas.microsoft.com/office/drawing/2014/main" id="{11DE8836-2457-7841-A1BD-1B8CFE3A4A50}"/>
            </a:ext>
          </a:extLst>
        </xdr:cNvPr>
        <xdr:cNvCxnSpPr>
          <a:cxnSpLocks/>
        </xdr:cNvCxnSpPr>
      </xdr:nvCxnSpPr>
      <xdr:spPr>
        <a:xfrm flipV="1">
          <a:off x="31183391" y="24822506"/>
          <a:ext cx="6075611" cy="1501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364416</xdr:colOff>
      <xdr:row>94</xdr:row>
      <xdr:rowOff>147674</xdr:rowOff>
    </xdr:from>
    <xdr:to>
      <xdr:col>58</xdr:col>
      <xdr:colOff>631784</xdr:colOff>
      <xdr:row>96</xdr:row>
      <xdr:rowOff>60485</xdr:rowOff>
    </xdr:to>
    <xdr:sp macro="" textlink="">
      <xdr:nvSpPr>
        <xdr:cNvPr id="851" name="Triangle 850">
          <a:extLst>
            <a:ext uri="{FF2B5EF4-FFF2-40B4-BE49-F238E27FC236}">
              <a16:creationId xmlns:a16="http://schemas.microsoft.com/office/drawing/2014/main" id="{D42AC14C-2549-AE4A-847C-0CFAC2A6272E}"/>
            </a:ext>
          </a:extLst>
        </xdr:cNvPr>
        <xdr:cNvSpPr/>
      </xdr:nvSpPr>
      <xdr:spPr>
        <a:xfrm rot="5400000">
          <a:off x="37254463" y="20114550"/>
          <a:ext cx="342657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58</xdr:col>
      <xdr:colOff>344886</xdr:colOff>
      <xdr:row>98</xdr:row>
      <xdr:rowOff>195385</xdr:rowOff>
    </xdr:from>
    <xdr:to>
      <xdr:col>58</xdr:col>
      <xdr:colOff>612254</xdr:colOff>
      <xdr:row>100</xdr:row>
      <xdr:rowOff>100017</xdr:rowOff>
    </xdr:to>
    <xdr:sp macro="" textlink="">
      <xdr:nvSpPr>
        <xdr:cNvPr id="852" name="Triangle 851">
          <a:extLst>
            <a:ext uri="{FF2B5EF4-FFF2-40B4-BE49-F238E27FC236}">
              <a16:creationId xmlns:a16="http://schemas.microsoft.com/office/drawing/2014/main" id="{37719DE8-927B-2942-9CC4-CED07AADDF85}"/>
            </a:ext>
          </a:extLst>
        </xdr:cNvPr>
        <xdr:cNvSpPr/>
      </xdr:nvSpPr>
      <xdr:spPr>
        <a:xfrm rot="5400000">
          <a:off x="37239023" y="21017863"/>
          <a:ext cx="334478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58</xdr:col>
      <xdr:colOff>273914</xdr:colOff>
      <xdr:row>112</xdr:row>
      <xdr:rowOff>45831</xdr:rowOff>
    </xdr:from>
    <xdr:to>
      <xdr:col>58</xdr:col>
      <xdr:colOff>541282</xdr:colOff>
      <xdr:row>113</xdr:row>
      <xdr:rowOff>177608</xdr:rowOff>
    </xdr:to>
    <xdr:sp macro="" textlink="">
      <xdr:nvSpPr>
        <xdr:cNvPr id="853" name="Triangle 852">
          <a:extLst>
            <a:ext uri="{FF2B5EF4-FFF2-40B4-BE49-F238E27FC236}">
              <a16:creationId xmlns:a16="http://schemas.microsoft.com/office/drawing/2014/main" id="{594CD363-E529-8440-8B9D-0990A500EC5A}"/>
            </a:ext>
          </a:extLst>
        </xdr:cNvPr>
        <xdr:cNvSpPr/>
      </xdr:nvSpPr>
      <xdr:spPr>
        <a:xfrm rot="5400000">
          <a:off x="37161940" y="23824728"/>
          <a:ext cx="346700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58</xdr:col>
      <xdr:colOff>266268</xdr:colOff>
      <xdr:row>116</xdr:row>
      <xdr:rowOff>45832</xdr:rowOff>
    </xdr:from>
    <xdr:to>
      <xdr:col>58</xdr:col>
      <xdr:colOff>533636</xdr:colOff>
      <xdr:row>117</xdr:row>
      <xdr:rowOff>177608</xdr:rowOff>
    </xdr:to>
    <xdr:sp macro="" textlink="">
      <xdr:nvSpPr>
        <xdr:cNvPr id="854" name="Triangle 853">
          <a:extLst>
            <a:ext uri="{FF2B5EF4-FFF2-40B4-BE49-F238E27FC236}">
              <a16:creationId xmlns:a16="http://schemas.microsoft.com/office/drawing/2014/main" id="{10FFC2E0-D1AA-9B4F-9F9D-1BCE7A7EA929}"/>
            </a:ext>
          </a:extLst>
        </xdr:cNvPr>
        <xdr:cNvSpPr/>
      </xdr:nvSpPr>
      <xdr:spPr>
        <a:xfrm rot="5400000">
          <a:off x="37154294" y="24684421"/>
          <a:ext cx="346699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46</xdr:col>
      <xdr:colOff>762006</xdr:colOff>
      <xdr:row>102</xdr:row>
      <xdr:rowOff>14109</xdr:rowOff>
    </xdr:from>
    <xdr:to>
      <xdr:col>57</xdr:col>
      <xdr:colOff>272694</xdr:colOff>
      <xdr:row>102</xdr:row>
      <xdr:rowOff>14109</xdr:rowOff>
    </xdr:to>
    <xdr:cxnSp macro="">
      <xdr:nvCxnSpPr>
        <xdr:cNvPr id="855" name="Straight Connector 854">
          <a:extLst>
            <a:ext uri="{FF2B5EF4-FFF2-40B4-BE49-F238E27FC236}">
              <a16:creationId xmlns:a16="http://schemas.microsoft.com/office/drawing/2014/main" id="{966EF8E4-5F9F-4F4A-B7A0-708032BB9349}"/>
            </a:ext>
          </a:extLst>
        </xdr:cNvPr>
        <xdr:cNvCxnSpPr>
          <a:cxnSpLocks/>
        </xdr:cNvCxnSpPr>
      </xdr:nvCxnSpPr>
      <xdr:spPr>
        <a:xfrm flipV="1">
          <a:off x="27842314" y="21662724"/>
          <a:ext cx="8537457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781538</xdr:colOff>
      <xdr:row>118</xdr:row>
      <xdr:rowOff>214357</xdr:rowOff>
    </xdr:from>
    <xdr:to>
      <xdr:col>57</xdr:col>
      <xdr:colOff>292226</xdr:colOff>
      <xdr:row>119</xdr:row>
      <xdr:rowOff>14448</xdr:rowOff>
    </xdr:to>
    <xdr:cxnSp macro="">
      <xdr:nvCxnSpPr>
        <xdr:cNvPr id="856" name="Straight Connector 855">
          <a:extLst>
            <a:ext uri="{FF2B5EF4-FFF2-40B4-BE49-F238E27FC236}">
              <a16:creationId xmlns:a16="http://schemas.microsoft.com/office/drawing/2014/main" id="{4F79FC60-B304-3B47-936F-48C8ECC2CB83}"/>
            </a:ext>
          </a:extLst>
        </xdr:cNvPr>
        <xdr:cNvCxnSpPr>
          <a:cxnSpLocks/>
        </xdr:cNvCxnSpPr>
      </xdr:nvCxnSpPr>
      <xdr:spPr>
        <a:xfrm flipV="1">
          <a:off x="27861846" y="25243126"/>
          <a:ext cx="8537457" cy="1501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264456</xdr:colOff>
      <xdr:row>101</xdr:row>
      <xdr:rowOff>89229</xdr:rowOff>
    </xdr:from>
    <xdr:to>
      <xdr:col>57</xdr:col>
      <xdr:colOff>531824</xdr:colOff>
      <xdr:row>102</xdr:row>
      <xdr:rowOff>176220</xdr:rowOff>
    </xdr:to>
    <xdr:sp macro="" textlink="">
      <xdr:nvSpPr>
        <xdr:cNvPr id="857" name="Triangle 856">
          <a:extLst>
            <a:ext uri="{FF2B5EF4-FFF2-40B4-BE49-F238E27FC236}">
              <a16:creationId xmlns:a16="http://schemas.microsoft.com/office/drawing/2014/main" id="{3429E2C8-EE88-9B44-830D-17DD536FD8A8}"/>
            </a:ext>
          </a:extLst>
        </xdr:cNvPr>
        <xdr:cNvSpPr/>
      </xdr:nvSpPr>
      <xdr:spPr>
        <a:xfrm rot="5400000">
          <a:off x="36354260" y="21540194"/>
          <a:ext cx="301914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57</xdr:col>
      <xdr:colOff>274899</xdr:colOff>
      <xdr:row>118</xdr:row>
      <xdr:rowOff>24256</xdr:rowOff>
    </xdr:from>
    <xdr:to>
      <xdr:col>57</xdr:col>
      <xdr:colOff>542267</xdr:colOff>
      <xdr:row>119</xdr:row>
      <xdr:rowOff>143811</xdr:rowOff>
    </xdr:to>
    <xdr:sp macro="" textlink="">
      <xdr:nvSpPr>
        <xdr:cNvPr id="858" name="Triangle 857">
          <a:extLst>
            <a:ext uri="{FF2B5EF4-FFF2-40B4-BE49-F238E27FC236}">
              <a16:creationId xmlns:a16="http://schemas.microsoft.com/office/drawing/2014/main" id="{2FC260F4-451D-C84C-9433-C29284221503}"/>
            </a:ext>
          </a:extLst>
        </xdr:cNvPr>
        <xdr:cNvSpPr/>
      </xdr:nvSpPr>
      <xdr:spPr>
        <a:xfrm rot="5400000">
          <a:off x="36348421" y="25086580"/>
          <a:ext cx="334478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48</xdr:col>
      <xdr:colOff>59070</xdr:colOff>
      <xdr:row>129</xdr:row>
      <xdr:rowOff>0</xdr:rowOff>
    </xdr:from>
    <xdr:to>
      <xdr:col>48</xdr:col>
      <xdr:colOff>326438</xdr:colOff>
      <xdr:row>130</xdr:row>
      <xdr:rowOff>119555</xdr:rowOff>
    </xdr:to>
    <xdr:sp macro="" textlink="">
      <xdr:nvSpPr>
        <xdr:cNvPr id="859" name="Triangle 858">
          <a:extLst>
            <a:ext uri="{FF2B5EF4-FFF2-40B4-BE49-F238E27FC236}">
              <a16:creationId xmlns:a16="http://schemas.microsoft.com/office/drawing/2014/main" id="{051E8AA7-10ED-5347-97BB-D9F310B51808}"/>
            </a:ext>
          </a:extLst>
        </xdr:cNvPr>
        <xdr:cNvSpPr/>
      </xdr:nvSpPr>
      <xdr:spPr>
        <a:xfrm rot="5400000">
          <a:off x="30627744" y="22210164"/>
          <a:ext cx="326299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48</xdr:col>
      <xdr:colOff>56955</xdr:colOff>
      <xdr:row>133</xdr:row>
      <xdr:rowOff>0</xdr:rowOff>
    </xdr:from>
    <xdr:to>
      <xdr:col>48</xdr:col>
      <xdr:colOff>324323</xdr:colOff>
      <xdr:row>134</xdr:row>
      <xdr:rowOff>119554</xdr:rowOff>
    </xdr:to>
    <xdr:sp macro="" textlink="">
      <xdr:nvSpPr>
        <xdr:cNvPr id="860" name="Triangle 859">
          <a:extLst>
            <a:ext uri="{FF2B5EF4-FFF2-40B4-BE49-F238E27FC236}">
              <a16:creationId xmlns:a16="http://schemas.microsoft.com/office/drawing/2014/main" id="{F291A6FC-1C26-7A4C-AE09-E2A2C930A638}"/>
            </a:ext>
          </a:extLst>
        </xdr:cNvPr>
        <xdr:cNvSpPr/>
      </xdr:nvSpPr>
      <xdr:spPr>
        <a:xfrm rot="5400000">
          <a:off x="30232885" y="23587403"/>
          <a:ext cx="331221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36</xdr:col>
      <xdr:colOff>783375</xdr:colOff>
      <xdr:row>135</xdr:row>
      <xdr:rowOff>119545</xdr:rowOff>
    </xdr:from>
    <xdr:to>
      <xdr:col>37</xdr:col>
      <xdr:colOff>234314</xdr:colOff>
      <xdr:row>137</xdr:row>
      <xdr:rowOff>27433</xdr:rowOff>
    </xdr:to>
    <xdr:sp macro="" textlink="">
      <xdr:nvSpPr>
        <xdr:cNvPr id="861" name="Triangle 860">
          <a:extLst>
            <a:ext uri="{FF2B5EF4-FFF2-40B4-BE49-F238E27FC236}">
              <a16:creationId xmlns:a16="http://schemas.microsoft.com/office/drawing/2014/main" id="{9463329A-6C8E-7A4E-9B02-11B7958A6E27}"/>
            </a:ext>
          </a:extLst>
        </xdr:cNvPr>
        <xdr:cNvSpPr/>
      </xdr:nvSpPr>
      <xdr:spPr>
        <a:xfrm rot="5400000">
          <a:off x="25244305" y="24130282"/>
          <a:ext cx="331221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37</xdr:col>
      <xdr:colOff>0</xdr:colOff>
      <xdr:row>141</xdr:row>
      <xdr:rowOff>0</xdr:rowOff>
    </xdr:from>
    <xdr:to>
      <xdr:col>37</xdr:col>
      <xdr:colOff>267368</xdr:colOff>
      <xdr:row>142</xdr:row>
      <xdr:rowOff>119555</xdr:rowOff>
    </xdr:to>
    <xdr:sp macro="" textlink="">
      <xdr:nvSpPr>
        <xdr:cNvPr id="868" name="Triangle 867">
          <a:extLst>
            <a:ext uri="{FF2B5EF4-FFF2-40B4-BE49-F238E27FC236}">
              <a16:creationId xmlns:a16="http://schemas.microsoft.com/office/drawing/2014/main" id="{8B6B26FC-DB10-B443-BFEE-4A917A31C9F1}"/>
            </a:ext>
          </a:extLst>
        </xdr:cNvPr>
        <xdr:cNvSpPr/>
      </xdr:nvSpPr>
      <xdr:spPr>
        <a:xfrm rot="5400000">
          <a:off x="25277359" y="25280737"/>
          <a:ext cx="331221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37</xdr:col>
      <xdr:colOff>0</xdr:colOff>
      <xdr:row>145</xdr:row>
      <xdr:rowOff>0</xdr:rowOff>
    </xdr:from>
    <xdr:to>
      <xdr:col>37</xdr:col>
      <xdr:colOff>267368</xdr:colOff>
      <xdr:row>146</xdr:row>
      <xdr:rowOff>119554</xdr:rowOff>
    </xdr:to>
    <xdr:sp macro="" textlink="">
      <xdr:nvSpPr>
        <xdr:cNvPr id="869" name="Triangle 868">
          <a:extLst>
            <a:ext uri="{FF2B5EF4-FFF2-40B4-BE49-F238E27FC236}">
              <a16:creationId xmlns:a16="http://schemas.microsoft.com/office/drawing/2014/main" id="{2E01A71F-4DBF-6E42-A6E2-1EC7E4DF8053}"/>
            </a:ext>
          </a:extLst>
        </xdr:cNvPr>
        <xdr:cNvSpPr/>
      </xdr:nvSpPr>
      <xdr:spPr>
        <a:xfrm rot="5400000">
          <a:off x="25277359" y="26127403"/>
          <a:ext cx="331221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32</xdr:col>
      <xdr:colOff>755952</xdr:colOff>
      <xdr:row>147</xdr:row>
      <xdr:rowOff>56848</xdr:rowOff>
    </xdr:from>
    <xdr:to>
      <xdr:col>33</xdr:col>
      <xdr:colOff>206892</xdr:colOff>
      <xdr:row>148</xdr:row>
      <xdr:rowOff>163703</xdr:rowOff>
    </xdr:to>
    <xdr:sp macro="" textlink="">
      <xdr:nvSpPr>
        <xdr:cNvPr id="870" name="Triangle 869">
          <a:extLst>
            <a:ext uri="{FF2B5EF4-FFF2-40B4-BE49-F238E27FC236}">
              <a16:creationId xmlns:a16="http://schemas.microsoft.com/office/drawing/2014/main" id="{458E0F93-757D-0046-8BF1-9DAF29458F63}"/>
            </a:ext>
          </a:extLst>
        </xdr:cNvPr>
        <xdr:cNvSpPr/>
      </xdr:nvSpPr>
      <xdr:spPr>
        <a:xfrm rot="5400000">
          <a:off x="22305861" y="26919339"/>
          <a:ext cx="326989" cy="280673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36</xdr:col>
      <xdr:colOff>755953</xdr:colOff>
      <xdr:row>152</xdr:row>
      <xdr:rowOff>186268</xdr:rowOff>
    </xdr:from>
    <xdr:to>
      <xdr:col>37</xdr:col>
      <xdr:colOff>206892</xdr:colOff>
      <xdr:row>154</xdr:row>
      <xdr:rowOff>85689</xdr:rowOff>
    </xdr:to>
    <xdr:sp macro="" textlink="">
      <xdr:nvSpPr>
        <xdr:cNvPr id="871" name="Triangle 870">
          <a:extLst>
            <a:ext uri="{FF2B5EF4-FFF2-40B4-BE49-F238E27FC236}">
              <a16:creationId xmlns:a16="http://schemas.microsoft.com/office/drawing/2014/main" id="{030F9A96-4221-2E42-9514-248803CBDDC7}"/>
            </a:ext>
          </a:extLst>
        </xdr:cNvPr>
        <xdr:cNvSpPr/>
      </xdr:nvSpPr>
      <xdr:spPr>
        <a:xfrm rot="5400000">
          <a:off x="25618445" y="28121909"/>
          <a:ext cx="339688" cy="280672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36</xdr:col>
      <xdr:colOff>725715</xdr:colOff>
      <xdr:row>156</xdr:row>
      <xdr:rowOff>152401</xdr:rowOff>
    </xdr:from>
    <xdr:to>
      <xdr:col>37</xdr:col>
      <xdr:colOff>176654</xdr:colOff>
      <xdr:row>158</xdr:row>
      <xdr:rowOff>51822</xdr:rowOff>
    </xdr:to>
    <xdr:sp macro="" textlink="">
      <xdr:nvSpPr>
        <xdr:cNvPr id="874" name="Triangle 873">
          <a:extLst>
            <a:ext uri="{FF2B5EF4-FFF2-40B4-BE49-F238E27FC236}">
              <a16:creationId xmlns:a16="http://schemas.microsoft.com/office/drawing/2014/main" id="{7C1EDD6E-8961-CF42-A19F-05A4F663EE70}"/>
            </a:ext>
          </a:extLst>
        </xdr:cNvPr>
        <xdr:cNvSpPr/>
      </xdr:nvSpPr>
      <xdr:spPr>
        <a:xfrm rot="5400000">
          <a:off x="25588207" y="28968576"/>
          <a:ext cx="339687" cy="280672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32</xdr:col>
      <xdr:colOff>684592</xdr:colOff>
      <xdr:row>159</xdr:row>
      <xdr:rowOff>33866</xdr:rowOff>
    </xdr:from>
    <xdr:to>
      <xdr:col>33</xdr:col>
      <xdr:colOff>135532</xdr:colOff>
      <xdr:row>160</xdr:row>
      <xdr:rowOff>153421</xdr:rowOff>
    </xdr:to>
    <xdr:sp macro="" textlink="">
      <xdr:nvSpPr>
        <xdr:cNvPr id="875" name="Triangle 874">
          <a:extLst>
            <a:ext uri="{FF2B5EF4-FFF2-40B4-BE49-F238E27FC236}">
              <a16:creationId xmlns:a16="http://schemas.microsoft.com/office/drawing/2014/main" id="{1D3BD739-8905-5B4E-8FB9-B50F936C816C}"/>
            </a:ext>
          </a:extLst>
        </xdr:cNvPr>
        <xdr:cNvSpPr/>
      </xdr:nvSpPr>
      <xdr:spPr>
        <a:xfrm rot="5400000">
          <a:off x="22228152" y="29510440"/>
          <a:ext cx="339688" cy="280673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43</xdr:col>
      <xdr:colOff>242023</xdr:colOff>
      <xdr:row>19</xdr:row>
      <xdr:rowOff>26861</xdr:rowOff>
    </xdr:from>
    <xdr:to>
      <xdr:col>43</xdr:col>
      <xdr:colOff>509391</xdr:colOff>
      <xdr:row>20</xdr:row>
      <xdr:rowOff>160541</xdr:rowOff>
    </xdr:to>
    <xdr:sp macro="" textlink="">
      <xdr:nvSpPr>
        <xdr:cNvPr id="927" name="Triangle 926">
          <a:extLst>
            <a:ext uri="{FF2B5EF4-FFF2-40B4-BE49-F238E27FC236}">
              <a16:creationId xmlns:a16="http://schemas.microsoft.com/office/drawing/2014/main" id="{033E6F6B-ABDC-5D45-9F76-A3E24B167916}"/>
            </a:ext>
          </a:extLst>
        </xdr:cNvPr>
        <xdr:cNvSpPr/>
      </xdr:nvSpPr>
      <xdr:spPr>
        <a:xfrm rot="5400000">
          <a:off x="29239467" y="4540484"/>
          <a:ext cx="353813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51</xdr:col>
      <xdr:colOff>19539</xdr:colOff>
      <xdr:row>95</xdr:row>
      <xdr:rowOff>135464</xdr:rowOff>
    </xdr:from>
    <xdr:to>
      <xdr:col>58</xdr:col>
      <xdr:colOff>350843</xdr:colOff>
      <xdr:row>95</xdr:row>
      <xdr:rowOff>150478</xdr:rowOff>
    </xdr:to>
    <xdr:cxnSp macro="">
      <xdr:nvCxnSpPr>
        <xdr:cNvPr id="929" name="Straight Connector 928">
          <a:extLst>
            <a:ext uri="{FF2B5EF4-FFF2-40B4-BE49-F238E27FC236}">
              <a16:creationId xmlns:a16="http://schemas.microsoft.com/office/drawing/2014/main" id="{430A61C8-31C9-974F-B6B8-F0B3C9A212F1}"/>
            </a:ext>
          </a:extLst>
        </xdr:cNvPr>
        <xdr:cNvCxnSpPr>
          <a:cxnSpLocks/>
        </xdr:cNvCxnSpPr>
      </xdr:nvCxnSpPr>
      <xdr:spPr>
        <a:xfrm flipV="1">
          <a:off x="31202924" y="20279618"/>
          <a:ext cx="6075611" cy="1501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124</xdr:row>
      <xdr:rowOff>15014</xdr:rowOff>
    </xdr:from>
    <xdr:to>
      <xdr:col>48</xdr:col>
      <xdr:colOff>101600</xdr:colOff>
      <xdr:row>124</xdr:row>
      <xdr:rowOff>25400</xdr:rowOff>
    </xdr:to>
    <xdr:cxnSp macro="">
      <xdr:nvCxnSpPr>
        <xdr:cNvPr id="953" name="Straight Connector 952">
          <a:extLst>
            <a:ext uri="{FF2B5EF4-FFF2-40B4-BE49-F238E27FC236}">
              <a16:creationId xmlns:a16="http://schemas.microsoft.com/office/drawing/2014/main" id="{7279DCE8-C7B1-2540-ABA5-098294104449}"/>
            </a:ext>
          </a:extLst>
        </xdr:cNvPr>
        <xdr:cNvCxnSpPr>
          <a:cxnSpLocks/>
        </xdr:cNvCxnSpPr>
      </xdr:nvCxnSpPr>
      <xdr:spPr>
        <a:xfrm>
          <a:off x="25146000" y="22671814"/>
          <a:ext cx="5969000" cy="1038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0</xdr:colOff>
      <xdr:row>123</xdr:row>
      <xdr:rowOff>76200</xdr:rowOff>
    </xdr:from>
    <xdr:to>
      <xdr:col>48</xdr:col>
      <xdr:colOff>267368</xdr:colOff>
      <xdr:row>124</xdr:row>
      <xdr:rowOff>195755</xdr:rowOff>
    </xdr:to>
    <xdr:sp macro="" textlink="">
      <xdr:nvSpPr>
        <xdr:cNvPr id="955" name="Triangle 954">
          <a:extLst>
            <a:ext uri="{FF2B5EF4-FFF2-40B4-BE49-F238E27FC236}">
              <a16:creationId xmlns:a16="http://schemas.microsoft.com/office/drawing/2014/main" id="{1E3803CA-CE93-4D4B-BFAA-5F089685A33C}"/>
            </a:ext>
          </a:extLst>
        </xdr:cNvPr>
        <xdr:cNvSpPr/>
      </xdr:nvSpPr>
      <xdr:spPr>
        <a:xfrm rot="5400000">
          <a:off x="30973006" y="22544794"/>
          <a:ext cx="348155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42</xdr:col>
      <xdr:colOff>0</xdr:colOff>
      <xdr:row>109</xdr:row>
      <xdr:rowOff>16385</xdr:rowOff>
    </xdr:from>
    <xdr:to>
      <xdr:col>49</xdr:col>
      <xdr:colOff>429846</xdr:colOff>
      <xdr:row>109</xdr:row>
      <xdr:rowOff>19538</xdr:rowOff>
    </xdr:to>
    <xdr:cxnSp macro="">
      <xdr:nvCxnSpPr>
        <xdr:cNvPr id="960" name="Straight Connector 959">
          <a:extLst>
            <a:ext uri="{FF2B5EF4-FFF2-40B4-BE49-F238E27FC236}">
              <a16:creationId xmlns:a16="http://schemas.microsoft.com/office/drawing/2014/main" id="{A8BF2EFD-1A75-5B44-85E3-C58FDCC7FED3}"/>
            </a:ext>
          </a:extLst>
        </xdr:cNvPr>
        <xdr:cNvCxnSpPr>
          <a:cxnSpLocks/>
        </xdr:cNvCxnSpPr>
      </xdr:nvCxnSpPr>
      <xdr:spPr>
        <a:xfrm>
          <a:off x="26259692" y="23110847"/>
          <a:ext cx="6174154" cy="315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425938</xdr:colOff>
      <xdr:row>108</xdr:row>
      <xdr:rowOff>39077</xdr:rowOff>
    </xdr:from>
    <xdr:to>
      <xdr:col>49</xdr:col>
      <xdr:colOff>693306</xdr:colOff>
      <xdr:row>109</xdr:row>
      <xdr:rowOff>180487</xdr:rowOff>
    </xdr:to>
    <xdr:sp macro="" textlink="">
      <xdr:nvSpPr>
        <xdr:cNvPr id="961" name="Triangle 960">
          <a:extLst>
            <a:ext uri="{FF2B5EF4-FFF2-40B4-BE49-F238E27FC236}">
              <a16:creationId xmlns:a16="http://schemas.microsoft.com/office/drawing/2014/main" id="{D63CEDD3-F3D5-0A4D-9016-72D6CE7903D9}"/>
            </a:ext>
          </a:extLst>
        </xdr:cNvPr>
        <xdr:cNvSpPr/>
      </xdr:nvSpPr>
      <xdr:spPr>
        <a:xfrm rot="5400000">
          <a:off x="32385455" y="22963098"/>
          <a:ext cx="356334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51</xdr:col>
      <xdr:colOff>781541</xdr:colOff>
      <xdr:row>25</xdr:row>
      <xdr:rowOff>121464</xdr:rowOff>
    </xdr:from>
    <xdr:to>
      <xdr:col>58</xdr:col>
      <xdr:colOff>262758</xdr:colOff>
      <xdr:row>25</xdr:row>
      <xdr:rowOff>131379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E491275-8B07-0D4E-A78A-B79CF80DFE77}"/>
            </a:ext>
          </a:extLst>
        </xdr:cNvPr>
        <xdr:cNvCxnSpPr>
          <a:cxnSpLocks/>
        </xdr:cNvCxnSpPr>
      </xdr:nvCxnSpPr>
      <xdr:spPr>
        <a:xfrm>
          <a:off x="29903955" y="5843763"/>
          <a:ext cx="5305700" cy="991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271516</xdr:colOff>
      <xdr:row>24</xdr:row>
      <xdr:rowOff>142247</xdr:rowOff>
    </xdr:from>
    <xdr:to>
      <xdr:col>58</xdr:col>
      <xdr:colOff>598357</xdr:colOff>
      <xdr:row>26</xdr:row>
      <xdr:rowOff>31532</xdr:rowOff>
    </xdr:to>
    <xdr:sp macro="" textlink="">
      <xdr:nvSpPr>
        <xdr:cNvPr id="5" name="Triangle 4">
          <a:extLst>
            <a:ext uri="{FF2B5EF4-FFF2-40B4-BE49-F238E27FC236}">
              <a16:creationId xmlns:a16="http://schemas.microsoft.com/office/drawing/2014/main" id="{CB5D4740-9261-964C-A7AA-583796024B61}"/>
            </a:ext>
          </a:extLst>
        </xdr:cNvPr>
        <xdr:cNvSpPr/>
      </xdr:nvSpPr>
      <xdr:spPr>
        <a:xfrm rot="5400000">
          <a:off x="35218226" y="5645767"/>
          <a:ext cx="327216" cy="326841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48</xdr:col>
      <xdr:colOff>7</xdr:colOff>
      <xdr:row>48</xdr:row>
      <xdr:rowOff>15630</xdr:rowOff>
    </xdr:from>
    <xdr:to>
      <xdr:col>56</xdr:col>
      <xdr:colOff>214931</xdr:colOff>
      <xdr:row>48</xdr:row>
      <xdr:rowOff>39077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3A36AA3-391B-1A4D-8566-C517A43D60DC}"/>
            </a:ext>
          </a:extLst>
        </xdr:cNvPr>
        <xdr:cNvCxnSpPr>
          <a:cxnSpLocks/>
        </xdr:cNvCxnSpPr>
      </xdr:nvCxnSpPr>
      <xdr:spPr>
        <a:xfrm>
          <a:off x="27900930" y="10429630"/>
          <a:ext cx="6779847" cy="2344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221443</xdr:colOff>
      <xdr:row>47</xdr:row>
      <xdr:rowOff>97692</xdr:rowOff>
    </xdr:from>
    <xdr:to>
      <xdr:col>56</xdr:col>
      <xdr:colOff>488811</xdr:colOff>
      <xdr:row>49</xdr:row>
      <xdr:rowOff>35989</xdr:rowOff>
    </xdr:to>
    <xdr:sp macro="" textlink="">
      <xdr:nvSpPr>
        <xdr:cNvPr id="16" name="Triangle 15">
          <a:extLst>
            <a:ext uri="{FF2B5EF4-FFF2-40B4-BE49-F238E27FC236}">
              <a16:creationId xmlns:a16="http://schemas.microsoft.com/office/drawing/2014/main" id="{CB6EF67B-B64C-D04C-83C4-F10F1CCD335E}"/>
            </a:ext>
          </a:extLst>
        </xdr:cNvPr>
        <xdr:cNvSpPr/>
      </xdr:nvSpPr>
      <xdr:spPr>
        <a:xfrm rot="5400000">
          <a:off x="34646670" y="10337388"/>
          <a:ext cx="348605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36</xdr:col>
      <xdr:colOff>0</xdr:colOff>
      <xdr:row>72</xdr:row>
      <xdr:rowOff>102420</xdr:rowOff>
    </xdr:from>
    <xdr:to>
      <xdr:col>44</xdr:col>
      <xdr:colOff>327742</xdr:colOff>
      <xdr:row>72</xdr:row>
      <xdr:rowOff>143388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B4DFE95E-40A0-FD43-AD98-E6EE50F3347D}"/>
            </a:ext>
          </a:extLst>
        </xdr:cNvPr>
        <xdr:cNvCxnSpPr>
          <a:cxnSpLocks/>
        </xdr:cNvCxnSpPr>
      </xdr:nvCxnSpPr>
      <xdr:spPr>
        <a:xfrm flipV="1">
          <a:off x="24580645" y="16223226"/>
          <a:ext cx="6882581" cy="4096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338699</xdr:colOff>
      <xdr:row>71</xdr:row>
      <xdr:rowOff>143387</xdr:rowOff>
    </xdr:from>
    <xdr:to>
      <xdr:col>44</xdr:col>
      <xdr:colOff>606067</xdr:colOff>
      <xdr:row>73</xdr:row>
      <xdr:rowOff>37620</xdr:rowOff>
    </xdr:to>
    <xdr:sp macro="" textlink="">
      <xdr:nvSpPr>
        <xdr:cNvPr id="90" name="Triangle 89">
          <a:extLst>
            <a:ext uri="{FF2B5EF4-FFF2-40B4-BE49-F238E27FC236}">
              <a16:creationId xmlns:a16="http://schemas.microsoft.com/office/drawing/2014/main" id="{B29436AB-2B5B-6144-8089-703A6ABEE450}"/>
            </a:ext>
          </a:extLst>
        </xdr:cNvPr>
        <xdr:cNvSpPr/>
      </xdr:nvSpPr>
      <xdr:spPr>
        <a:xfrm rot="5400000">
          <a:off x="31435428" y="16077626"/>
          <a:ext cx="344878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36</xdr:col>
      <xdr:colOff>51459</xdr:colOff>
      <xdr:row>105</xdr:row>
      <xdr:rowOff>0</xdr:rowOff>
    </xdr:from>
    <xdr:to>
      <xdr:col>44</xdr:col>
      <xdr:colOff>371707</xdr:colOff>
      <xdr:row>105</xdr:row>
      <xdr:rowOff>61952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0B2887CB-3158-E54D-B3E8-09C6E3A04711}"/>
            </a:ext>
          </a:extLst>
        </xdr:cNvPr>
        <xdr:cNvCxnSpPr>
          <a:cxnSpLocks/>
        </xdr:cNvCxnSpPr>
      </xdr:nvCxnSpPr>
      <xdr:spPr>
        <a:xfrm>
          <a:off x="25141703" y="23231707"/>
          <a:ext cx="7010980" cy="6195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406399</xdr:colOff>
      <xdr:row>104</xdr:row>
      <xdr:rowOff>70054</xdr:rowOff>
    </xdr:from>
    <xdr:to>
      <xdr:col>44</xdr:col>
      <xdr:colOff>673767</xdr:colOff>
      <xdr:row>105</xdr:row>
      <xdr:rowOff>211464</xdr:rowOff>
    </xdr:to>
    <xdr:sp macro="" textlink="">
      <xdr:nvSpPr>
        <xdr:cNvPr id="112" name="Triangle 111">
          <a:extLst>
            <a:ext uri="{FF2B5EF4-FFF2-40B4-BE49-F238E27FC236}">
              <a16:creationId xmlns:a16="http://schemas.microsoft.com/office/drawing/2014/main" id="{C398D354-36FD-E941-AADD-530C4C46E3BA}"/>
            </a:ext>
          </a:extLst>
        </xdr:cNvPr>
        <xdr:cNvSpPr/>
      </xdr:nvSpPr>
      <xdr:spPr>
        <a:xfrm rot="5400000">
          <a:off x="32141939" y="23130368"/>
          <a:ext cx="358239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51</xdr:col>
      <xdr:colOff>759079</xdr:colOff>
      <xdr:row>39</xdr:row>
      <xdr:rowOff>1163</xdr:rowOff>
    </xdr:from>
    <xdr:to>
      <xdr:col>58</xdr:col>
      <xdr:colOff>209340</xdr:colOff>
      <xdr:row>39</xdr:row>
      <xdr:rowOff>21816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7D409B98-0148-8D49-940B-E3201929C98E}"/>
            </a:ext>
          </a:extLst>
        </xdr:cNvPr>
        <xdr:cNvCxnSpPr>
          <a:cxnSpLocks/>
        </xdr:cNvCxnSpPr>
      </xdr:nvCxnSpPr>
      <xdr:spPr>
        <a:xfrm>
          <a:off x="29881493" y="8745186"/>
          <a:ext cx="5274744" cy="2065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253996</xdr:colOff>
      <xdr:row>38</xdr:row>
      <xdr:rowOff>1</xdr:rowOff>
    </xdr:from>
    <xdr:to>
      <xdr:col>58</xdr:col>
      <xdr:colOff>521364</xdr:colOff>
      <xdr:row>39</xdr:row>
      <xdr:rowOff>133680</xdr:rowOff>
    </xdr:to>
    <xdr:sp macro="" textlink="">
      <xdr:nvSpPr>
        <xdr:cNvPr id="122" name="Triangle 121">
          <a:extLst>
            <a:ext uri="{FF2B5EF4-FFF2-40B4-BE49-F238E27FC236}">
              <a16:creationId xmlns:a16="http://schemas.microsoft.com/office/drawing/2014/main" id="{81ABAC52-F075-B940-A9FB-7B210E793F8B}"/>
            </a:ext>
          </a:extLst>
        </xdr:cNvPr>
        <xdr:cNvSpPr/>
      </xdr:nvSpPr>
      <xdr:spPr>
        <a:xfrm rot="5400000">
          <a:off x="35158254" y="8567697"/>
          <a:ext cx="352645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36</xdr:col>
      <xdr:colOff>0</xdr:colOff>
      <xdr:row>85</xdr:row>
      <xdr:rowOff>122903</xdr:rowOff>
    </xdr:from>
    <xdr:to>
      <xdr:col>44</xdr:col>
      <xdr:colOff>348226</xdr:colOff>
      <xdr:row>85</xdr:row>
      <xdr:rowOff>128872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A11608F3-BAC2-8843-984B-38E285610D98}"/>
            </a:ext>
          </a:extLst>
        </xdr:cNvPr>
        <xdr:cNvCxnSpPr>
          <a:cxnSpLocks/>
        </xdr:cNvCxnSpPr>
      </xdr:nvCxnSpPr>
      <xdr:spPr>
        <a:xfrm flipV="1">
          <a:off x="24580645" y="19090968"/>
          <a:ext cx="6903065" cy="596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359183</xdr:colOff>
      <xdr:row>84</xdr:row>
      <xdr:rowOff>127192</xdr:rowOff>
    </xdr:from>
    <xdr:to>
      <xdr:col>44</xdr:col>
      <xdr:colOff>626551</xdr:colOff>
      <xdr:row>86</xdr:row>
      <xdr:rowOff>40002</xdr:rowOff>
    </xdr:to>
    <xdr:sp macro="" textlink="">
      <xdr:nvSpPr>
        <xdr:cNvPr id="126" name="Triangle 125">
          <a:extLst>
            <a:ext uri="{FF2B5EF4-FFF2-40B4-BE49-F238E27FC236}">
              <a16:creationId xmlns:a16="http://schemas.microsoft.com/office/drawing/2014/main" id="{35DAE2E2-7B67-624B-9CE5-1A9C87BC446A}"/>
            </a:ext>
          </a:extLst>
        </xdr:cNvPr>
        <xdr:cNvSpPr/>
      </xdr:nvSpPr>
      <xdr:spPr>
        <a:xfrm rot="5400000">
          <a:off x="31446623" y="18917978"/>
          <a:ext cx="363455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47</xdr:col>
      <xdr:colOff>800891</xdr:colOff>
      <xdr:row>35</xdr:row>
      <xdr:rowOff>7</xdr:rowOff>
    </xdr:from>
    <xdr:to>
      <xdr:col>57</xdr:col>
      <xdr:colOff>308921</xdr:colOff>
      <xdr:row>35</xdr:row>
      <xdr:rowOff>28026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2C83C49D-3C50-A741-97EF-122383D75341}"/>
            </a:ext>
          </a:extLst>
        </xdr:cNvPr>
        <xdr:cNvCxnSpPr>
          <a:cxnSpLocks/>
          <a:endCxn id="140" idx="3"/>
        </xdr:cNvCxnSpPr>
      </xdr:nvCxnSpPr>
      <xdr:spPr>
        <a:xfrm>
          <a:off x="34394439" y="8029684"/>
          <a:ext cx="7701579" cy="2801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308921</xdr:colOff>
      <xdr:row>34</xdr:row>
      <xdr:rowOff>68646</xdr:rowOff>
    </xdr:from>
    <xdr:to>
      <xdr:col>57</xdr:col>
      <xdr:colOff>576289</xdr:colOff>
      <xdr:row>36</xdr:row>
      <xdr:rowOff>6941</xdr:rowOff>
    </xdr:to>
    <xdr:sp macro="" textlink="">
      <xdr:nvSpPr>
        <xdr:cNvPr id="140" name="Triangle 139">
          <a:extLst>
            <a:ext uri="{FF2B5EF4-FFF2-40B4-BE49-F238E27FC236}">
              <a16:creationId xmlns:a16="http://schemas.microsoft.com/office/drawing/2014/main" id="{52035885-2943-2B4B-BD19-A0722F047D7D}"/>
            </a:ext>
          </a:extLst>
        </xdr:cNvPr>
        <xdr:cNvSpPr/>
      </xdr:nvSpPr>
      <xdr:spPr>
        <a:xfrm rot="5400000">
          <a:off x="35554765" y="7572956"/>
          <a:ext cx="348603" cy="267368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48</xdr:col>
      <xdr:colOff>0</xdr:colOff>
      <xdr:row>40</xdr:row>
      <xdr:rowOff>117228</xdr:rowOff>
    </xdr:from>
    <xdr:to>
      <xdr:col>50</xdr:col>
      <xdr:colOff>386861</xdr:colOff>
      <xdr:row>40</xdr:row>
      <xdr:rowOff>120159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E71760E5-CEAA-9548-9DC8-AB2D1B94595A}"/>
            </a:ext>
          </a:extLst>
        </xdr:cNvPr>
        <xdr:cNvCxnSpPr>
          <a:cxnSpLocks/>
        </xdr:cNvCxnSpPr>
      </xdr:nvCxnSpPr>
      <xdr:spPr>
        <a:xfrm flipV="1">
          <a:off x="27900923" y="8831382"/>
          <a:ext cx="2028092" cy="293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97</xdr:row>
      <xdr:rowOff>117231</xdr:rowOff>
    </xdr:from>
    <xdr:to>
      <xdr:col>49</xdr:col>
      <xdr:colOff>136769</xdr:colOff>
      <xdr:row>97</xdr:row>
      <xdr:rowOff>120159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D5AD8618-10BD-B74E-BEE8-B14D44D26D25}"/>
            </a:ext>
          </a:extLst>
        </xdr:cNvPr>
        <xdr:cNvCxnSpPr>
          <a:cxnSpLocks/>
        </xdr:cNvCxnSpPr>
      </xdr:nvCxnSpPr>
      <xdr:spPr>
        <a:xfrm flipV="1">
          <a:off x="27900923" y="20691231"/>
          <a:ext cx="1778000" cy="292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19539</xdr:colOff>
      <xdr:row>114</xdr:row>
      <xdr:rowOff>117231</xdr:rowOff>
    </xdr:from>
    <xdr:to>
      <xdr:col>49</xdr:col>
      <xdr:colOff>136769</xdr:colOff>
      <xdr:row>114</xdr:row>
      <xdr:rowOff>117231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44CF9D8B-24F0-2345-A2A6-942980A8289E}"/>
            </a:ext>
          </a:extLst>
        </xdr:cNvPr>
        <xdr:cNvCxnSpPr>
          <a:cxnSpLocks/>
        </xdr:cNvCxnSpPr>
      </xdr:nvCxnSpPr>
      <xdr:spPr>
        <a:xfrm>
          <a:off x="27920462" y="24286308"/>
          <a:ext cx="1758461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324882</xdr:colOff>
      <xdr:row>44</xdr:row>
      <xdr:rowOff>29536</xdr:rowOff>
    </xdr:from>
    <xdr:to>
      <xdr:col>22</xdr:col>
      <xdr:colOff>566182</xdr:colOff>
      <xdr:row>45</xdr:row>
      <xdr:rowOff>71179</xdr:rowOff>
    </xdr:to>
    <xdr:sp macro="" textlink="">
      <xdr:nvSpPr>
        <xdr:cNvPr id="193" name="Oval 192">
          <a:extLst>
            <a:ext uri="{FF2B5EF4-FFF2-40B4-BE49-F238E27FC236}">
              <a16:creationId xmlns:a16="http://schemas.microsoft.com/office/drawing/2014/main" id="{B7C8486B-ECC4-F74B-8868-A527E2A7994F}"/>
            </a:ext>
          </a:extLst>
        </xdr:cNvPr>
        <xdr:cNvSpPr/>
      </xdr:nvSpPr>
      <xdr:spPr>
        <a:xfrm flipV="1">
          <a:off x="13556510" y="9598838"/>
          <a:ext cx="241300" cy="248388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A59C-4608-3544-977B-C45BB42A3A9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42D5-E8CF-1847-8B77-01CC7F2AD2A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3E3D-4571-A043-BB60-8257669BEF06}">
  <dimension ref="A3:M74"/>
  <sheetViews>
    <sheetView zoomScale="84" workbookViewId="0">
      <selection activeCell="A6" sqref="A6:B6"/>
    </sheetView>
  </sheetViews>
  <sheetFormatPr baseColWidth="10" defaultRowHeight="16" x14ac:dyDescent="0.2"/>
  <sheetData>
    <row r="3" spans="1:7" ht="22" x14ac:dyDescent="0.3">
      <c r="A3" s="2" t="s">
        <v>8</v>
      </c>
    </row>
    <row r="4" spans="1:7" ht="17" thickBot="1" x14ac:dyDescent="0.25"/>
    <row r="5" spans="1:7" x14ac:dyDescent="0.2">
      <c r="A5" s="17" t="s">
        <v>0</v>
      </c>
      <c r="B5" s="20"/>
    </row>
    <row r="6" spans="1:7" x14ac:dyDescent="0.2">
      <c r="A6" s="23" t="s">
        <v>1</v>
      </c>
      <c r="B6" s="75">
        <v>0.9</v>
      </c>
    </row>
    <row r="7" spans="1:7" ht="17" thickBot="1" x14ac:dyDescent="0.25">
      <c r="A7" s="26" t="s">
        <v>2</v>
      </c>
      <c r="B7" s="35">
        <f>1-B6</f>
        <v>9.9999999999999978E-2</v>
      </c>
    </row>
    <row r="8" spans="1:7" ht="17" thickBot="1" x14ac:dyDescent="0.25"/>
    <row r="9" spans="1:7" x14ac:dyDescent="0.2">
      <c r="A9" s="67" t="s">
        <v>45</v>
      </c>
      <c r="B9" s="76">
        <v>0.1</v>
      </c>
    </row>
    <row r="10" spans="1:7" x14ac:dyDescent="0.2">
      <c r="A10" s="23" t="s">
        <v>29</v>
      </c>
      <c r="B10" s="32">
        <v>0.9</v>
      </c>
    </row>
    <row r="11" spans="1:7" x14ac:dyDescent="0.2">
      <c r="A11" s="23" t="s">
        <v>46</v>
      </c>
      <c r="B11" s="24">
        <f>B9*B6</f>
        <v>9.0000000000000011E-2</v>
      </c>
      <c r="G11" s="3"/>
    </row>
    <row r="12" spans="1:7" ht="17" thickBot="1" x14ac:dyDescent="0.25">
      <c r="A12" s="26" t="s">
        <v>47</v>
      </c>
      <c r="B12" s="35">
        <f>B10*B6</f>
        <v>0.81</v>
      </c>
      <c r="G12" s="3"/>
    </row>
    <row r="13" spans="1:7" ht="17" thickBot="1" x14ac:dyDescent="0.25">
      <c r="B13" s="1"/>
      <c r="G13" s="3"/>
    </row>
    <row r="14" spans="1:7" x14ac:dyDescent="0.2">
      <c r="A14" s="17" t="s">
        <v>25</v>
      </c>
      <c r="B14" s="18"/>
      <c r="C14" s="19"/>
      <c r="D14" s="19"/>
      <c r="E14" s="20"/>
      <c r="G14" s="3"/>
    </row>
    <row r="15" spans="1:7" x14ac:dyDescent="0.2">
      <c r="A15" s="21" t="s">
        <v>3</v>
      </c>
      <c r="B15" s="1"/>
      <c r="E15" s="22"/>
      <c r="G15" s="3"/>
    </row>
    <row r="16" spans="1:7" x14ac:dyDescent="0.2">
      <c r="A16" s="23"/>
      <c r="B16" t="s">
        <v>4</v>
      </c>
      <c r="C16" t="s">
        <v>5</v>
      </c>
      <c r="E16" s="22"/>
    </row>
    <row r="17" spans="1:13" x14ac:dyDescent="0.2">
      <c r="A17" s="23" t="s">
        <v>7</v>
      </c>
      <c r="B17" s="4">
        <v>0.85</v>
      </c>
      <c r="C17" s="1">
        <f>1-C18</f>
        <v>9.9999999999999978E-2</v>
      </c>
      <c r="E17" s="22"/>
      <c r="H17" s="8"/>
      <c r="I17" s="1"/>
    </row>
    <row r="18" spans="1:13" x14ac:dyDescent="0.2">
      <c r="A18" s="23" t="s">
        <v>6</v>
      </c>
      <c r="B18" s="1">
        <f>1-B17</f>
        <v>0.15000000000000002</v>
      </c>
      <c r="C18" s="4">
        <v>0.9</v>
      </c>
      <c r="E18" s="22"/>
      <c r="H18" s="1"/>
      <c r="I18" s="8"/>
    </row>
    <row r="19" spans="1:13" x14ac:dyDescent="0.2">
      <c r="A19" s="23"/>
      <c r="B19" s="1"/>
      <c r="C19" s="4"/>
      <c r="E19" s="22"/>
      <c r="H19" s="1"/>
      <c r="I19" s="8"/>
    </row>
    <row r="20" spans="1:13" x14ac:dyDescent="0.2">
      <c r="A20" s="21" t="s">
        <v>9</v>
      </c>
      <c r="E20" s="22"/>
      <c r="G20" s="3"/>
    </row>
    <row r="21" spans="1:13" x14ac:dyDescent="0.2">
      <c r="A21" s="23"/>
      <c r="B21" t="s">
        <v>10</v>
      </c>
      <c r="C21" t="s">
        <v>5</v>
      </c>
      <c r="E21" s="22"/>
    </row>
    <row r="22" spans="1:13" x14ac:dyDescent="0.2">
      <c r="A22" s="23" t="s">
        <v>7</v>
      </c>
      <c r="B22" s="1">
        <f>B6*B17</f>
        <v>0.76500000000000001</v>
      </c>
      <c r="C22" s="1">
        <f>B7*C17</f>
        <v>9.999999999999995E-3</v>
      </c>
      <c r="D22" t="s">
        <v>11</v>
      </c>
      <c r="E22" s="24">
        <f>B22+C22</f>
        <v>0.77500000000000002</v>
      </c>
      <c r="H22" s="1"/>
      <c r="I22" s="1"/>
      <c r="K22" s="1"/>
      <c r="M22" t="s">
        <v>48</v>
      </c>
    </row>
    <row r="23" spans="1:13" x14ac:dyDescent="0.2">
      <c r="A23" s="23" t="s">
        <v>6</v>
      </c>
      <c r="B23" s="1">
        <f>B6*B18</f>
        <v>0.13500000000000004</v>
      </c>
      <c r="C23" s="1">
        <f>B7*C18</f>
        <v>8.9999999999999983E-2</v>
      </c>
      <c r="D23" t="s">
        <v>12</v>
      </c>
      <c r="E23" s="24">
        <f>B23+C23</f>
        <v>0.22500000000000003</v>
      </c>
      <c r="H23" s="1"/>
      <c r="I23" s="1"/>
      <c r="K23" s="1"/>
    </row>
    <row r="24" spans="1:13" x14ac:dyDescent="0.2">
      <c r="A24" s="23"/>
      <c r="B24" s="1"/>
      <c r="C24" s="1"/>
      <c r="E24" s="24"/>
      <c r="H24" s="1"/>
      <c r="I24" s="1"/>
      <c r="K24" s="1"/>
    </row>
    <row r="25" spans="1:13" x14ac:dyDescent="0.2">
      <c r="A25" s="25" t="s">
        <v>49</v>
      </c>
      <c r="E25" s="22"/>
      <c r="G25" s="5"/>
    </row>
    <row r="26" spans="1:13" x14ac:dyDescent="0.2">
      <c r="A26" s="23"/>
      <c r="B26" t="s">
        <v>14</v>
      </c>
      <c r="C26" t="s">
        <v>5</v>
      </c>
      <c r="E26" s="22"/>
    </row>
    <row r="27" spans="1:13" x14ac:dyDescent="0.2">
      <c r="A27" s="23" t="s">
        <v>7</v>
      </c>
      <c r="B27" s="6">
        <f>B22/E22</f>
        <v>0.98709677419354835</v>
      </c>
      <c r="C27" s="6">
        <f>C22/E22</f>
        <v>1.2903225806451606E-2</v>
      </c>
      <c r="D27" s="7">
        <f>B27+C27</f>
        <v>1</v>
      </c>
      <c r="E27" s="22"/>
      <c r="H27" s="1"/>
      <c r="I27" s="1"/>
    </row>
    <row r="28" spans="1:13" ht="17" thickBot="1" x14ac:dyDescent="0.25">
      <c r="A28" s="26" t="s">
        <v>6</v>
      </c>
      <c r="B28" s="27">
        <f>B23/E23</f>
        <v>0.60000000000000009</v>
      </c>
      <c r="C28" s="27">
        <f>C23/E23</f>
        <v>0.39999999999999986</v>
      </c>
      <c r="D28" s="28">
        <f>B28+C28</f>
        <v>1</v>
      </c>
      <c r="E28" s="29"/>
      <c r="H28" s="1"/>
      <c r="I28" s="1"/>
    </row>
    <row r="29" spans="1:13" ht="17" thickBot="1" x14ac:dyDescent="0.25"/>
    <row r="30" spans="1:13" x14ac:dyDescent="0.2">
      <c r="A30" s="17" t="s">
        <v>50</v>
      </c>
      <c r="B30" s="19"/>
      <c r="C30" s="19"/>
      <c r="D30" s="19"/>
      <c r="E30" s="20"/>
    </row>
    <row r="31" spans="1:13" x14ac:dyDescent="0.2">
      <c r="A31" s="21" t="s">
        <v>3</v>
      </c>
      <c r="E31" s="22"/>
    </row>
    <row r="32" spans="1:13" x14ac:dyDescent="0.2">
      <c r="A32" s="23"/>
      <c r="B32" t="s">
        <v>4</v>
      </c>
      <c r="C32" t="s">
        <v>5</v>
      </c>
      <c r="E32" s="22"/>
    </row>
    <row r="33" spans="1:7" x14ac:dyDescent="0.2">
      <c r="A33" s="23" t="s">
        <v>7</v>
      </c>
      <c r="B33" s="8">
        <v>1</v>
      </c>
      <c r="C33" s="1">
        <f>1-C34</f>
        <v>0</v>
      </c>
      <c r="E33" s="22"/>
    </row>
    <row r="34" spans="1:7" x14ac:dyDescent="0.2">
      <c r="A34" s="23" t="s">
        <v>6</v>
      </c>
      <c r="B34" s="1">
        <f>1-B33</f>
        <v>0</v>
      </c>
      <c r="C34" s="8">
        <v>1</v>
      </c>
      <c r="E34" s="22"/>
      <c r="G34" t="s">
        <v>48</v>
      </c>
    </row>
    <row r="35" spans="1:7" x14ac:dyDescent="0.2">
      <c r="A35" s="21" t="s">
        <v>9</v>
      </c>
      <c r="E35" s="22"/>
    </row>
    <row r="36" spans="1:7" x14ac:dyDescent="0.2">
      <c r="A36" s="23"/>
      <c r="B36" t="s">
        <v>10</v>
      </c>
      <c r="C36" t="s">
        <v>5</v>
      </c>
      <c r="E36" s="22"/>
    </row>
    <row r="37" spans="1:7" x14ac:dyDescent="0.2">
      <c r="A37" s="23" t="s">
        <v>7</v>
      </c>
      <c r="B37" s="1">
        <f>B33*B6</f>
        <v>0.9</v>
      </c>
      <c r="C37" s="1">
        <f>C33*B7</f>
        <v>0</v>
      </c>
      <c r="D37" t="s">
        <v>11</v>
      </c>
      <c r="E37" s="24">
        <f>B37+C37</f>
        <v>0.9</v>
      </c>
    </row>
    <row r="38" spans="1:7" x14ac:dyDescent="0.2">
      <c r="A38" s="23" t="s">
        <v>6</v>
      </c>
      <c r="B38" s="1">
        <f>B34*B6</f>
        <v>0</v>
      </c>
      <c r="C38" s="1">
        <f>C34*B7</f>
        <v>9.9999999999999978E-2</v>
      </c>
      <c r="D38" t="s">
        <v>12</v>
      </c>
      <c r="E38" s="24">
        <f>B38+C38</f>
        <v>9.9999999999999978E-2</v>
      </c>
    </row>
    <row r="39" spans="1:7" x14ac:dyDescent="0.2">
      <c r="A39" s="25" t="s">
        <v>13</v>
      </c>
      <c r="E39" s="22"/>
    </row>
    <row r="40" spans="1:7" x14ac:dyDescent="0.2">
      <c r="A40" s="23"/>
      <c r="B40" t="s">
        <v>14</v>
      </c>
      <c r="C40" t="s">
        <v>5</v>
      </c>
      <c r="E40" s="22"/>
    </row>
    <row r="41" spans="1:7" x14ac:dyDescent="0.2">
      <c r="A41" s="23" t="s">
        <v>7</v>
      </c>
      <c r="B41" s="1">
        <f>B37/E37</f>
        <v>1</v>
      </c>
      <c r="C41" s="1">
        <f>C37/E37</f>
        <v>0</v>
      </c>
      <c r="E41" s="22"/>
    </row>
    <row r="42" spans="1:7" ht="17" thickBot="1" x14ac:dyDescent="0.25">
      <c r="A42" s="26" t="s">
        <v>6</v>
      </c>
      <c r="B42" s="30">
        <f>B38/E38</f>
        <v>0</v>
      </c>
      <c r="C42" s="30">
        <f>C38/E38</f>
        <v>1</v>
      </c>
      <c r="D42" s="31"/>
      <c r="E42" s="29"/>
    </row>
    <row r="43" spans="1:7" ht="17" thickBot="1" x14ac:dyDescent="0.25">
      <c r="B43" s="1"/>
      <c r="C43" s="1"/>
    </row>
    <row r="44" spans="1:7" x14ac:dyDescent="0.2">
      <c r="A44" s="17" t="s">
        <v>51</v>
      </c>
      <c r="B44" s="19"/>
      <c r="C44" s="20"/>
    </row>
    <row r="45" spans="1:7" x14ac:dyDescent="0.2">
      <c r="A45" s="21"/>
      <c r="B45" t="s">
        <v>26</v>
      </c>
      <c r="C45" s="22" t="s">
        <v>27</v>
      </c>
    </row>
    <row r="46" spans="1:7" x14ac:dyDescent="0.2">
      <c r="A46" s="23" t="s">
        <v>18</v>
      </c>
      <c r="B46" s="8">
        <v>2.9999999999999997E-4</v>
      </c>
      <c r="C46" s="32">
        <v>0.03</v>
      </c>
    </row>
    <row r="47" spans="1:7" x14ac:dyDescent="0.2">
      <c r="A47" s="23" t="s">
        <v>19</v>
      </c>
      <c r="B47" s="8">
        <v>1E-3</v>
      </c>
      <c r="C47" s="32">
        <v>0.08</v>
      </c>
    </row>
    <row r="48" spans="1:7" ht="17" thickBot="1" x14ac:dyDescent="0.25">
      <c r="A48" s="26" t="s">
        <v>20</v>
      </c>
      <c r="B48" s="33">
        <v>2.0000000000000001E-4</v>
      </c>
      <c r="C48" s="34"/>
    </row>
    <row r="49" spans="1:3" ht="17" thickBot="1" x14ac:dyDescent="0.25">
      <c r="B49" s="8"/>
      <c r="C49" s="8"/>
    </row>
    <row r="50" spans="1:3" x14ac:dyDescent="0.2">
      <c r="A50" s="17" t="s">
        <v>52</v>
      </c>
      <c r="B50" s="19"/>
      <c r="C50" s="20"/>
    </row>
    <row r="51" spans="1:3" x14ac:dyDescent="0.2">
      <c r="A51" s="21"/>
      <c r="B51" t="s">
        <v>26</v>
      </c>
      <c r="C51" s="22" t="s">
        <v>27</v>
      </c>
    </row>
    <row r="52" spans="1:3" x14ac:dyDescent="0.2">
      <c r="A52" s="23" t="s">
        <v>18</v>
      </c>
      <c r="B52" s="1">
        <f>1-B46</f>
        <v>0.99970000000000003</v>
      </c>
      <c r="C52" s="24">
        <f>1-C46</f>
        <v>0.97</v>
      </c>
    </row>
    <row r="53" spans="1:3" x14ac:dyDescent="0.2">
      <c r="A53" s="23" t="s">
        <v>19</v>
      </c>
      <c r="B53" s="1">
        <f>1-B47</f>
        <v>0.999</v>
      </c>
      <c r="C53" s="24">
        <f>1-C47</f>
        <v>0.92</v>
      </c>
    </row>
    <row r="54" spans="1:3" ht="17" thickBot="1" x14ac:dyDescent="0.25">
      <c r="A54" s="26" t="s">
        <v>20</v>
      </c>
      <c r="B54" s="30">
        <f>1-B48</f>
        <v>0.99980000000000002</v>
      </c>
      <c r="C54" s="34"/>
    </row>
    <row r="55" spans="1:3" ht="17" thickBot="1" x14ac:dyDescent="0.25"/>
    <row r="56" spans="1:3" x14ac:dyDescent="0.2">
      <c r="A56" s="17" t="s">
        <v>28</v>
      </c>
      <c r="B56" s="19"/>
      <c r="C56" s="20"/>
    </row>
    <row r="57" spans="1:3" x14ac:dyDescent="0.2">
      <c r="A57" s="21"/>
      <c r="B57" t="s">
        <v>21</v>
      </c>
      <c r="C57" s="22" t="s">
        <v>22</v>
      </c>
    </row>
    <row r="58" spans="1:3" x14ac:dyDescent="0.2">
      <c r="A58" s="23" t="s">
        <v>23</v>
      </c>
      <c r="B58" s="8">
        <v>0.85</v>
      </c>
      <c r="C58" s="32">
        <v>0.7</v>
      </c>
    </row>
    <row r="59" spans="1:3" ht="17" thickBot="1" x14ac:dyDescent="0.25">
      <c r="A59" s="26" t="s">
        <v>24</v>
      </c>
      <c r="B59" s="30">
        <f>1-B58</f>
        <v>0.15000000000000002</v>
      </c>
      <c r="C59" s="35">
        <f>1-C58</f>
        <v>0.30000000000000004</v>
      </c>
    </row>
    <row r="74" ht="54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4D90-B5DF-BC4A-81EB-A310D92F4541}">
  <dimension ref="A1:P130"/>
  <sheetViews>
    <sheetView workbookViewId="0">
      <selection activeCell="G124" sqref="G124"/>
    </sheetView>
  </sheetViews>
  <sheetFormatPr baseColWidth="10" defaultRowHeight="16" x14ac:dyDescent="0.2"/>
  <sheetData>
    <row r="1" spans="1:5" ht="17" thickBot="1" x14ac:dyDescent="0.25">
      <c r="A1" s="3" t="s">
        <v>53</v>
      </c>
      <c r="B1" s="3"/>
    </row>
    <row r="2" spans="1:5" x14ac:dyDescent="0.2">
      <c r="A2" s="45" t="s">
        <v>54</v>
      </c>
      <c r="B2" s="46"/>
      <c r="C2" s="47"/>
      <c r="D2" s="47"/>
      <c r="E2" s="48"/>
    </row>
    <row r="3" spans="1:5" x14ac:dyDescent="0.2">
      <c r="A3" s="49" t="s">
        <v>55</v>
      </c>
      <c r="B3" s="50" t="s">
        <v>56</v>
      </c>
      <c r="C3" s="50" t="s">
        <v>57</v>
      </c>
      <c r="D3" s="50" t="s">
        <v>58</v>
      </c>
      <c r="E3" s="51" t="s">
        <v>59</v>
      </c>
    </row>
    <row r="4" spans="1:5" x14ac:dyDescent="0.2">
      <c r="A4" s="52" t="s">
        <v>60</v>
      </c>
      <c r="B4" s="41">
        <v>1</v>
      </c>
      <c r="C4">
        <v>0.995</v>
      </c>
      <c r="D4" s="41">
        <v>0.99</v>
      </c>
      <c r="E4" s="22">
        <v>0.96699999999999997</v>
      </c>
    </row>
    <row r="5" spans="1:5" x14ac:dyDescent="0.2">
      <c r="A5" s="52" t="s">
        <v>61</v>
      </c>
      <c r="B5" s="41">
        <v>0.99</v>
      </c>
      <c r="C5" s="41">
        <v>0.98599999999999999</v>
      </c>
      <c r="D5" s="41">
        <v>0.97299999999999998</v>
      </c>
      <c r="E5" s="42">
        <v>0.93200000000000005</v>
      </c>
    </row>
    <row r="6" spans="1:5" x14ac:dyDescent="0.2">
      <c r="A6" s="52" t="s">
        <v>62</v>
      </c>
      <c r="B6" s="41">
        <v>0.98</v>
      </c>
      <c r="C6" s="41">
        <v>0.97199999999999998</v>
      </c>
      <c r="D6" s="41">
        <v>0.95599999999999996</v>
      </c>
      <c r="E6" s="42">
        <v>0.91200000000000003</v>
      </c>
    </row>
    <row r="7" spans="1:5" x14ac:dyDescent="0.2">
      <c r="A7" s="52" t="s">
        <v>63</v>
      </c>
      <c r="B7" s="41">
        <v>0.96399999999999997</v>
      </c>
      <c r="C7" s="41">
        <v>0.95599999999999996</v>
      </c>
      <c r="D7" s="41">
        <v>0.94199999999999995</v>
      </c>
      <c r="E7" s="42">
        <v>0.87</v>
      </c>
    </row>
    <row r="8" spans="1:5" x14ac:dyDescent="0.2">
      <c r="A8" s="52" t="s">
        <v>64</v>
      </c>
      <c r="B8" s="41">
        <v>0.94599999999999995</v>
      </c>
      <c r="C8" s="41">
        <v>0.93500000000000005</v>
      </c>
      <c r="D8" s="41">
        <v>0.9</v>
      </c>
      <c r="E8" s="42">
        <v>0.7</v>
      </c>
    </row>
    <row r="9" spans="1:5" x14ac:dyDescent="0.2">
      <c r="A9" s="52" t="s">
        <v>65</v>
      </c>
      <c r="B9" s="41">
        <v>0.875</v>
      </c>
      <c r="C9" s="41">
        <v>0.84499999999999997</v>
      </c>
      <c r="D9" s="41">
        <v>0.68</v>
      </c>
      <c r="E9" s="42">
        <v>0</v>
      </c>
    </row>
    <row r="10" spans="1:5" x14ac:dyDescent="0.2">
      <c r="A10" s="52" t="s">
        <v>66</v>
      </c>
      <c r="B10" s="41">
        <v>0.67700000000000005</v>
      </c>
      <c r="C10" s="41">
        <v>0.56399999999999995</v>
      </c>
      <c r="D10" s="41">
        <v>0</v>
      </c>
      <c r="E10" s="42">
        <v>-1.486</v>
      </c>
    </row>
    <row r="11" spans="1:5" ht="17" thickBot="1" x14ac:dyDescent="0.25">
      <c r="A11" s="53" t="s">
        <v>67</v>
      </c>
      <c r="B11" s="43">
        <v>-1.028</v>
      </c>
      <c r="C11" s="43" t="s">
        <v>68</v>
      </c>
      <c r="D11" s="43" t="s">
        <v>68</v>
      </c>
      <c r="E11" s="44" t="s">
        <v>68</v>
      </c>
    </row>
    <row r="12" spans="1:5" ht="17" thickBot="1" x14ac:dyDescent="0.25">
      <c r="A12" s="54"/>
      <c r="B12" s="41"/>
      <c r="C12" s="41"/>
      <c r="D12" s="41"/>
      <c r="E12" s="41"/>
    </row>
    <row r="13" spans="1:5" x14ac:dyDescent="0.2">
      <c r="A13" s="56" t="s">
        <v>95</v>
      </c>
      <c r="B13" s="63"/>
      <c r="C13" s="41"/>
      <c r="D13" s="41"/>
      <c r="E13" s="41"/>
    </row>
    <row r="14" spans="1:5" ht="35" thickBot="1" x14ac:dyDescent="0.25">
      <c r="A14" s="64" t="s">
        <v>96</v>
      </c>
      <c r="B14" s="65">
        <v>3.5000000000000003E-2</v>
      </c>
      <c r="C14" s="41"/>
      <c r="D14" s="41"/>
      <c r="E14" s="41"/>
    </row>
    <row r="15" spans="1:5" x14ac:dyDescent="0.2">
      <c r="A15" s="54"/>
      <c r="B15" s="41"/>
      <c r="C15" s="41"/>
      <c r="D15" s="41"/>
      <c r="E15" s="41"/>
    </row>
    <row r="16" spans="1:5" ht="17" thickBot="1" x14ac:dyDescent="0.25"/>
    <row r="17" spans="1:11" x14ac:dyDescent="0.2">
      <c r="A17" s="56" t="s">
        <v>69</v>
      </c>
      <c r="B17" s="47"/>
      <c r="C17" s="47"/>
      <c r="D17" s="47"/>
      <c r="E17" s="48"/>
      <c r="G17" s="45" t="s">
        <v>70</v>
      </c>
      <c r="H17" s="47"/>
      <c r="I17" s="47"/>
      <c r="J17" s="47"/>
      <c r="K17" s="48"/>
    </row>
    <row r="18" spans="1:11" ht="51" x14ac:dyDescent="0.2">
      <c r="A18" s="57" t="s">
        <v>71</v>
      </c>
      <c r="B18" s="58" t="s">
        <v>72</v>
      </c>
      <c r="C18" s="58" t="s">
        <v>73</v>
      </c>
      <c r="D18" s="59" t="s">
        <v>97</v>
      </c>
      <c r="E18" s="60"/>
      <c r="G18" s="57" t="s">
        <v>71</v>
      </c>
      <c r="H18" s="58" t="s">
        <v>72</v>
      </c>
      <c r="I18" s="58" t="s">
        <v>73</v>
      </c>
      <c r="J18" s="59" t="s">
        <v>97</v>
      </c>
      <c r="K18" s="60"/>
    </row>
    <row r="19" spans="1:11" x14ac:dyDescent="0.2">
      <c r="A19" s="23">
        <v>1</v>
      </c>
      <c r="B19" s="54" t="s">
        <v>75</v>
      </c>
      <c r="C19" s="41">
        <f>B4</f>
        <v>1</v>
      </c>
      <c r="D19">
        <f>C19/((1+B$14)^A19)</f>
        <v>0.96618357487922713</v>
      </c>
      <c r="E19" s="22"/>
      <c r="G19" s="23">
        <v>1</v>
      </c>
      <c r="H19" s="54" t="s">
        <v>76</v>
      </c>
      <c r="I19">
        <f>C4</f>
        <v>0.995</v>
      </c>
      <c r="J19">
        <f>I19/((1+B$14)^G19)</f>
        <v>0.96135265700483097</v>
      </c>
      <c r="K19" s="22"/>
    </row>
    <row r="20" spans="1:11" x14ac:dyDescent="0.2">
      <c r="A20" s="23">
        <v>2</v>
      </c>
      <c r="B20" s="54" t="s">
        <v>75</v>
      </c>
      <c r="C20" s="41">
        <f>B4</f>
        <v>1</v>
      </c>
      <c r="D20">
        <f t="shared" ref="D20:D28" si="0">C20/((1+B$14)^A20)</f>
        <v>0.93351070036640305</v>
      </c>
      <c r="E20" s="22"/>
      <c r="G20" s="23">
        <v>2</v>
      </c>
      <c r="H20" s="54" t="s">
        <v>75</v>
      </c>
      <c r="I20" s="41">
        <f>B4</f>
        <v>1</v>
      </c>
      <c r="J20">
        <f t="shared" ref="J20:J28" si="1">I20/((1+B$14)^G20)</f>
        <v>0.93351070036640305</v>
      </c>
      <c r="K20" s="22"/>
    </row>
    <row r="21" spans="1:11" x14ac:dyDescent="0.2">
      <c r="A21" s="23">
        <v>3</v>
      </c>
      <c r="B21" s="54" t="s">
        <v>75</v>
      </c>
      <c r="C21" s="41">
        <f>B4</f>
        <v>1</v>
      </c>
      <c r="D21">
        <f t="shared" si="0"/>
        <v>0.90194270566802237</v>
      </c>
      <c r="E21" s="22"/>
      <c r="G21" s="23">
        <v>3</v>
      </c>
      <c r="H21" s="54" t="s">
        <v>77</v>
      </c>
      <c r="I21" s="41">
        <f>B5</f>
        <v>0.99</v>
      </c>
      <c r="J21">
        <f t="shared" si="1"/>
        <v>0.89292327861134213</v>
      </c>
      <c r="K21" s="22"/>
    </row>
    <row r="22" spans="1:11" x14ac:dyDescent="0.2">
      <c r="A22" s="23">
        <v>4</v>
      </c>
      <c r="B22" s="54" t="s">
        <v>78</v>
      </c>
      <c r="C22" s="41">
        <f>C5</f>
        <v>0.98599999999999999</v>
      </c>
      <c r="D22">
        <f t="shared" si="0"/>
        <v>0.85924203651079234</v>
      </c>
      <c r="E22" s="22"/>
      <c r="G22" s="23">
        <v>4</v>
      </c>
      <c r="H22" s="54" t="s">
        <v>78</v>
      </c>
      <c r="I22" s="41">
        <f>C5</f>
        <v>0.98599999999999999</v>
      </c>
      <c r="J22">
        <f t="shared" si="1"/>
        <v>0.85924203651079234</v>
      </c>
      <c r="K22" s="22"/>
    </row>
    <row r="23" spans="1:11" x14ac:dyDescent="0.2">
      <c r="A23" s="23">
        <v>5</v>
      </c>
      <c r="B23" s="54" t="s">
        <v>78</v>
      </c>
      <c r="C23" s="41">
        <f>C5</f>
        <v>0.98599999999999999</v>
      </c>
      <c r="D23">
        <f t="shared" si="0"/>
        <v>0.83018554252250487</v>
      </c>
      <c r="E23" s="22"/>
      <c r="G23" s="23">
        <v>5</v>
      </c>
      <c r="H23" s="54" t="s">
        <v>79</v>
      </c>
      <c r="I23" s="41">
        <f>C6</f>
        <v>0.97199999999999998</v>
      </c>
      <c r="J23">
        <f t="shared" si="1"/>
        <v>0.81839791818648544</v>
      </c>
      <c r="K23" s="22"/>
    </row>
    <row r="24" spans="1:11" x14ac:dyDescent="0.2">
      <c r="A24" s="23">
        <v>6</v>
      </c>
      <c r="B24" s="54" t="s">
        <v>78</v>
      </c>
      <c r="C24" s="41">
        <f>C5</f>
        <v>0.98599999999999999</v>
      </c>
      <c r="D24">
        <f t="shared" si="0"/>
        <v>0.80211163528744422</v>
      </c>
      <c r="E24" s="22"/>
      <c r="G24" s="23">
        <v>6</v>
      </c>
      <c r="H24" s="54" t="s">
        <v>80</v>
      </c>
      <c r="I24" s="41">
        <f>D7</f>
        <v>0.94199999999999995</v>
      </c>
      <c r="J24">
        <f t="shared" si="1"/>
        <v>0.76631760693790307</v>
      </c>
      <c r="K24" s="22"/>
    </row>
    <row r="25" spans="1:11" x14ac:dyDescent="0.2">
      <c r="A25" s="23">
        <v>7</v>
      </c>
      <c r="B25" s="54" t="s">
        <v>81</v>
      </c>
      <c r="C25" s="41">
        <f>D5</f>
        <v>0.97299999999999998</v>
      </c>
      <c r="D25">
        <f t="shared" si="0"/>
        <v>0.76476920474535603</v>
      </c>
      <c r="E25" s="22"/>
      <c r="G25" s="23">
        <v>7</v>
      </c>
      <c r="H25" s="54" t="s">
        <v>80</v>
      </c>
      <c r="I25" s="41">
        <f>D7</f>
        <v>0.94199999999999995</v>
      </c>
      <c r="J25">
        <f t="shared" si="1"/>
        <v>0.74040348496415764</v>
      </c>
      <c r="K25" s="22"/>
    </row>
    <row r="26" spans="1:11" x14ac:dyDescent="0.2">
      <c r="A26" s="23">
        <v>8</v>
      </c>
      <c r="B26" s="54" t="s">
        <v>82</v>
      </c>
      <c r="C26" s="41">
        <f>D6</f>
        <v>0.95599999999999996</v>
      </c>
      <c r="D26">
        <f t="shared" si="0"/>
        <v>0.72599744774273556</v>
      </c>
      <c r="E26" s="22"/>
      <c r="G26" s="23">
        <v>8</v>
      </c>
      <c r="H26" s="54" t="s">
        <v>83</v>
      </c>
      <c r="I26" s="41">
        <f>D8</f>
        <v>0.9</v>
      </c>
      <c r="J26">
        <f t="shared" si="1"/>
        <v>0.68347040059462549</v>
      </c>
      <c r="K26" s="22"/>
    </row>
    <row r="27" spans="1:11" x14ac:dyDescent="0.2">
      <c r="A27" s="23">
        <v>9</v>
      </c>
      <c r="B27" s="54" t="s">
        <v>82</v>
      </c>
      <c r="C27" s="41">
        <f>D6</f>
        <v>0.95599999999999996</v>
      </c>
      <c r="D27">
        <f t="shared" si="0"/>
        <v>0.70144680941327109</v>
      </c>
      <c r="E27" s="22"/>
      <c r="G27" s="23">
        <v>9</v>
      </c>
      <c r="H27" s="54" t="s">
        <v>84</v>
      </c>
      <c r="I27" s="41">
        <f>E9</f>
        <v>0</v>
      </c>
      <c r="J27">
        <f t="shared" si="1"/>
        <v>0</v>
      </c>
      <c r="K27" s="22"/>
    </row>
    <row r="28" spans="1:11" x14ac:dyDescent="0.2">
      <c r="A28" s="23">
        <v>10</v>
      </c>
      <c r="B28" s="54" t="s">
        <v>82</v>
      </c>
      <c r="C28" s="41">
        <f>D6</f>
        <v>0.95599999999999996</v>
      </c>
      <c r="D28">
        <f t="shared" si="0"/>
        <v>0.67772638590654222</v>
      </c>
      <c r="E28" s="22"/>
      <c r="G28" s="23">
        <v>10</v>
      </c>
      <c r="H28" s="54" t="s">
        <v>85</v>
      </c>
      <c r="I28" s="41">
        <f>E10</f>
        <v>-1.486</v>
      </c>
      <c r="J28">
        <f t="shared" si="1"/>
        <v>-1.0534533571727214</v>
      </c>
      <c r="K28" s="22"/>
    </row>
    <row r="29" spans="1:11" ht="17" thickBot="1" x14ac:dyDescent="0.25">
      <c r="A29" s="26"/>
      <c r="B29" s="31"/>
      <c r="C29" s="31" t="s">
        <v>86</v>
      </c>
      <c r="D29" s="66">
        <f>SUM(D19:D28)</f>
        <v>8.1631160430422991</v>
      </c>
      <c r="E29" s="29"/>
      <c r="G29" s="26"/>
      <c r="H29" s="31"/>
      <c r="I29" s="31" t="s">
        <v>87</v>
      </c>
      <c r="J29" s="66">
        <f>SUM(J19:J28)</f>
        <v>5.602164726003819</v>
      </c>
      <c r="K29" s="29"/>
    </row>
    <row r="31" spans="1:11" ht="17" thickBot="1" x14ac:dyDescent="0.25"/>
    <row r="32" spans="1:11" x14ac:dyDescent="0.2">
      <c r="A32" s="61" t="s">
        <v>88</v>
      </c>
      <c r="B32" s="47"/>
      <c r="C32" s="47"/>
      <c r="D32" s="47"/>
      <c r="E32" s="48"/>
      <c r="G32" s="45" t="s">
        <v>89</v>
      </c>
      <c r="H32" s="47"/>
      <c r="I32" s="47"/>
      <c r="J32" s="47"/>
      <c r="K32" s="48"/>
    </row>
    <row r="33" spans="1:16" ht="51" x14ac:dyDescent="0.2">
      <c r="A33" s="62" t="s">
        <v>71</v>
      </c>
      <c r="B33" s="58" t="s">
        <v>72</v>
      </c>
      <c r="C33" s="58" t="s">
        <v>73</v>
      </c>
      <c r="D33" s="59" t="s">
        <v>97</v>
      </c>
      <c r="E33" s="60"/>
      <c r="G33" s="57" t="s">
        <v>71</v>
      </c>
      <c r="H33" s="58" t="s">
        <v>72</v>
      </c>
      <c r="I33" s="58" t="s">
        <v>73</v>
      </c>
      <c r="J33" s="59" t="s">
        <v>97</v>
      </c>
      <c r="K33" s="60"/>
    </row>
    <row r="34" spans="1:16" x14ac:dyDescent="0.2">
      <c r="A34" s="55">
        <v>1</v>
      </c>
      <c r="B34" s="54" t="s">
        <v>78</v>
      </c>
      <c r="C34" s="41">
        <f>C5</f>
        <v>0.98599999999999999</v>
      </c>
      <c r="D34">
        <f>C34/((1+B$14)^A34)</f>
        <v>0.95265700483091798</v>
      </c>
      <c r="E34" s="22"/>
      <c r="G34" s="23">
        <v>1</v>
      </c>
      <c r="H34" s="54" t="s">
        <v>82</v>
      </c>
      <c r="I34" s="41">
        <f>D6</f>
        <v>0.95599999999999996</v>
      </c>
      <c r="J34">
        <f>I34/((1+B$14)^G34)</f>
        <v>0.92367149758454115</v>
      </c>
      <c r="K34" s="22"/>
    </row>
    <row r="35" spans="1:16" x14ac:dyDescent="0.2">
      <c r="A35" s="55">
        <v>2</v>
      </c>
      <c r="B35" s="54" t="s">
        <v>78</v>
      </c>
      <c r="C35" s="41">
        <f>C5</f>
        <v>0.98599999999999999</v>
      </c>
      <c r="D35">
        <f t="shared" ref="D35:D43" si="2">C35/((1+B$14)^A35)</f>
        <v>0.92044155056127341</v>
      </c>
      <c r="E35" s="22"/>
      <c r="G35" s="23">
        <v>2</v>
      </c>
      <c r="H35" s="54" t="s">
        <v>82</v>
      </c>
      <c r="I35" s="41">
        <f>D6</f>
        <v>0.95599999999999996</v>
      </c>
      <c r="J35">
        <f t="shared" ref="J35:J38" si="3">I35/((1+B$14)^G35)</f>
        <v>0.89243622955028135</v>
      </c>
      <c r="K35" s="22"/>
    </row>
    <row r="36" spans="1:16" x14ac:dyDescent="0.2">
      <c r="A36" s="55">
        <v>3</v>
      </c>
      <c r="B36" s="54" t="s">
        <v>82</v>
      </c>
      <c r="C36" s="41">
        <f>D6</f>
        <v>0.95599999999999996</v>
      </c>
      <c r="D36">
        <f t="shared" si="2"/>
        <v>0.86225722661862936</v>
      </c>
      <c r="E36" s="22"/>
      <c r="G36" s="23">
        <v>3</v>
      </c>
      <c r="H36" s="54" t="s">
        <v>80</v>
      </c>
      <c r="I36" s="41">
        <f>D7</f>
        <v>0.94199999999999995</v>
      </c>
      <c r="J36">
        <f t="shared" si="3"/>
        <v>0.84963002873927707</v>
      </c>
      <c r="K36" s="22"/>
    </row>
    <row r="37" spans="1:16" x14ac:dyDescent="0.2">
      <c r="A37" s="55">
        <v>4</v>
      </c>
      <c r="B37" s="54" t="s">
        <v>82</v>
      </c>
      <c r="C37" s="41">
        <f>D6</f>
        <v>0.95599999999999996</v>
      </c>
      <c r="D37">
        <f t="shared" si="2"/>
        <v>0.8330987696798352</v>
      </c>
      <c r="E37" s="22"/>
      <c r="G37" s="23">
        <v>4</v>
      </c>
      <c r="H37" s="54" t="s">
        <v>90</v>
      </c>
      <c r="I37" s="41">
        <f>E7</f>
        <v>0.87</v>
      </c>
      <c r="J37">
        <f t="shared" si="3"/>
        <v>0.75815473809775802</v>
      </c>
      <c r="K37" s="22"/>
    </row>
    <row r="38" spans="1:16" x14ac:dyDescent="0.2">
      <c r="A38" s="55">
        <v>5</v>
      </c>
      <c r="B38" s="54" t="s">
        <v>82</v>
      </c>
      <c r="C38" s="41">
        <f>D6</f>
        <v>0.95599999999999996</v>
      </c>
      <c r="D38">
        <f t="shared" si="2"/>
        <v>0.80492634751674907</v>
      </c>
      <c r="E38" s="22"/>
      <c r="G38" s="23">
        <v>5</v>
      </c>
      <c r="H38" s="54" t="s">
        <v>91</v>
      </c>
      <c r="I38" s="41">
        <f>E8</f>
        <v>0.7</v>
      </c>
      <c r="J38">
        <f t="shared" si="3"/>
        <v>0.58938121680096689</v>
      </c>
      <c r="K38" s="22"/>
    </row>
    <row r="39" spans="1:16" ht="17" thickBot="1" x14ac:dyDescent="0.25">
      <c r="A39" s="55">
        <v>6</v>
      </c>
      <c r="B39" s="54" t="s">
        <v>80</v>
      </c>
      <c r="C39" s="41">
        <f>D7</f>
        <v>0.94199999999999995</v>
      </c>
      <c r="D39">
        <f t="shared" si="2"/>
        <v>0.76631760693790307</v>
      </c>
      <c r="E39" s="22"/>
      <c r="G39" s="26"/>
      <c r="H39" s="31"/>
      <c r="I39" s="31" t="s">
        <v>92</v>
      </c>
      <c r="J39" s="66">
        <f>SUM(J34:J38)</f>
        <v>4.0132737107728245</v>
      </c>
      <c r="K39" s="29"/>
    </row>
    <row r="40" spans="1:16" x14ac:dyDescent="0.2">
      <c r="A40" s="55">
        <v>7</v>
      </c>
      <c r="B40" s="54" t="s">
        <v>80</v>
      </c>
      <c r="C40" s="41">
        <f>D7</f>
        <v>0.94199999999999995</v>
      </c>
      <c r="D40">
        <f t="shared" si="2"/>
        <v>0.74040348496415764</v>
      </c>
      <c r="E40" s="22"/>
    </row>
    <row r="41" spans="1:16" x14ac:dyDescent="0.2">
      <c r="A41" s="55">
        <v>8</v>
      </c>
      <c r="B41" s="54" t="s">
        <v>80</v>
      </c>
      <c r="C41" s="41">
        <f>D7</f>
        <v>0.94199999999999995</v>
      </c>
      <c r="D41">
        <f t="shared" si="2"/>
        <v>0.71536568595570793</v>
      </c>
      <c r="E41" s="22"/>
    </row>
    <row r="42" spans="1:16" x14ac:dyDescent="0.2">
      <c r="A42" s="55">
        <v>9</v>
      </c>
      <c r="B42" s="54" t="s">
        <v>91</v>
      </c>
      <c r="C42" s="41">
        <f>E8</f>
        <v>0.7</v>
      </c>
      <c r="D42">
        <f t="shared" si="2"/>
        <v>0.51361168053272988</v>
      </c>
      <c r="E42" s="22"/>
    </row>
    <row r="43" spans="1:16" x14ac:dyDescent="0.2">
      <c r="A43" s="55">
        <v>10</v>
      </c>
      <c r="B43" s="54" t="s">
        <v>91</v>
      </c>
      <c r="C43" s="41">
        <f>E8</f>
        <v>0.7</v>
      </c>
      <c r="D43">
        <f t="shared" si="2"/>
        <v>0.49624316959684051</v>
      </c>
      <c r="E43" s="22"/>
    </row>
    <row r="44" spans="1:16" ht="17" thickBot="1" x14ac:dyDescent="0.25">
      <c r="A44" s="26"/>
      <c r="B44" s="31"/>
      <c r="C44" s="31" t="s">
        <v>86</v>
      </c>
      <c r="D44" s="66">
        <f>SUM(D34:D43)</f>
        <v>7.6053225271947431</v>
      </c>
      <c r="E44" s="29"/>
    </row>
    <row r="45" spans="1:16" ht="17" thickBot="1" x14ac:dyDescent="0.25"/>
    <row r="46" spans="1:16" ht="17" thickBot="1" x14ac:dyDescent="0.25">
      <c r="M46" s="122" t="s">
        <v>122</v>
      </c>
      <c r="N46" s="123"/>
      <c r="O46" s="123"/>
      <c r="P46" s="124"/>
    </row>
    <row r="47" spans="1:16" ht="17" thickBot="1" x14ac:dyDescent="0.25">
      <c r="A47" s="45" t="s">
        <v>93</v>
      </c>
      <c r="B47" s="47"/>
      <c r="C47" s="47"/>
      <c r="D47" s="47"/>
      <c r="E47" s="48"/>
      <c r="G47" s="45" t="s">
        <v>94</v>
      </c>
      <c r="H47" s="47"/>
      <c r="I47" s="47"/>
      <c r="J47" s="47"/>
      <c r="K47" s="48"/>
      <c r="M47" s="86" t="s">
        <v>119</v>
      </c>
      <c r="N47" s="87" t="s">
        <v>121</v>
      </c>
      <c r="O47" s="87" t="s">
        <v>97</v>
      </c>
      <c r="P47" s="88"/>
    </row>
    <row r="48" spans="1:16" ht="51" x14ac:dyDescent="0.2">
      <c r="A48" s="57" t="s">
        <v>71</v>
      </c>
      <c r="B48" s="58" t="s">
        <v>72</v>
      </c>
      <c r="C48" s="58" t="s">
        <v>73</v>
      </c>
      <c r="D48" s="59" t="s">
        <v>97</v>
      </c>
      <c r="E48" s="60"/>
      <c r="G48" s="57" t="s">
        <v>71</v>
      </c>
      <c r="H48" s="58" t="s">
        <v>72</v>
      </c>
      <c r="I48" s="58" t="s">
        <v>73</v>
      </c>
      <c r="J48" s="59" t="s">
        <v>97</v>
      </c>
      <c r="K48" s="60"/>
      <c r="M48" s="92">
        <v>1</v>
      </c>
      <c r="N48" s="93">
        <v>1</v>
      </c>
      <c r="O48" s="93">
        <f>N48/((1+B$14)^M48)</f>
        <v>0.96618357487922713</v>
      </c>
      <c r="P48" s="85"/>
    </row>
    <row r="49" spans="1:16" x14ac:dyDescent="0.2">
      <c r="A49" s="23">
        <v>1</v>
      </c>
      <c r="B49" s="54" t="s">
        <v>91</v>
      </c>
      <c r="C49" s="41">
        <f>E8</f>
        <v>0.7</v>
      </c>
      <c r="D49">
        <f>C49/((1+B$14)^A49)</f>
        <v>0.67632850241545894</v>
      </c>
      <c r="E49" s="22"/>
      <c r="G49" s="23">
        <v>1</v>
      </c>
      <c r="H49" s="54" t="s">
        <v>91</v>
      </c>
      <c r="I49" s="41">
        <f>E8</f>
        <v>0.7</v>
      </c>
      <c r="J49">
        <f>I49/((1+B$14)^G49)</f>
        <v>0.67632850241545894</v>
      </c>
      <c r="K49" s="22"/>
      <c r="M49" s="92">
        <v>2</v>
      </c>
      <c r="N49" s="93">
        <v>1</v>
      </c>
      <c r="O49" s="93">
        <f t="shared" ref="O49:O62" si="4">N49/((1+B$14)^M49)</f>
        <v>0.93351070036640305</v>
      </c>
      <c r="P49" s="85"/>
    </row>
    <row r="50" spans="1:16" x14ac:dyDescent="0.2">
      <c r="A50" s="23">
        <v>2</v>
      </c>
      <c r="B50" s="54" t="s">
        <v>91</v>
      </c>
      <c r="C50" s="41">
        <f>E8</f>
        <v>0.7</v>
      </c>
      <c r="D50">
        <f t="shared" ref="D50:D58" si="5">C50/((1+B$14)^A50)</f>
        <v>0.65345749025648214</v>
      </c>
      <c r="E50" s="22"/>
      <c r="G50" s="23">
        <v>2</v>
      </c>
      <c r="H50" s="54" t="s">
        <v>91</v>
      </c>
      <c r="I50" s="41">
        <f>E8</f>
        <v>0.7</v>
      </c>
      <c r="J50">
        <f t="shared" ref="J50:J53" si="6">I50/((1+B$14)^G50)</f>
        <v>0.65345749025648214</v>
      </c>
      <c r="K50" s="22"/>
      <c r="M50" s="92">
        <v>3</v>
      </c>
      <c r="N50" s="93">
        <v>1</v>
      </c>
      <c r="O50" s="93">
        <f t="shared" si="4"/>
        <v>0.90194270566802237</v>
      </c>
      <c r="P50" s="85"/>
    </row>
    <row r="51" spans="1:16" x14ac:dyDescent="0.2">
      <c r="A51" s="23">
        <v>3</v>
      </c>
      <c r="B51" s="54" t="s">
        <v>91</v>
      </c>
      <c r="C51" s="41">
        <f>E8</f>
        <v>0.7</v>
      </c>
      <c r="D51">
        <f t="shared" si="5"/>
        <v>0.6313598939676156</v>
      </c>
      <c r="E51" s="22"/>
      <c r="G51" s="23">
        <v>3</v>
      </c>
      <c r="H51" s="54" t="s">
        <v>84</v>
      </c>
      <c r="I51" s="41">
        <f>E9</f>
        <v>0</v>
      </c>
      <c r="J51">
        <f t="shared" si="6"/>
        <v>0</v>
      </c>
      <c r="K51" s="22"/>
      <c r="M51" s="92">
        <v>4</v>
      </c>
      <c r="N51" s="93">
        <v>0.995</v>
      </c>
      <c r="O51" s="93">
        <f>N51/((1+B$14)^M51)</f>
        <v>0.86708501656007952</v>
      </c>
      <c r="P51" s="85"/>
    </row>
    <row r="52" spans="1:16" x14ac:dyDescent="0.2">
      <c r="A52" s="23">
        <v>4</v>
      </c>
      <c r="B52" s="54" t="s">
        <v>91</v>
      </c>
      <c r="C52" s="41">
        <f>E8</f>
        <v>0.7</v>
      </c>
      <c r="D52">
        <f t="shared" si="5"/>
        <v>0.61000955938900059</v>
      </c>
      <c r="E52" s="22"/>
      <c r="G52" s="23">
        <v>4</v>
      </c>
      <c r="H52" s="54" t="s">
        <v>84</v>
      </c>
      <c r="I52" s="41">
        <f>E9</f>
        <v>0</v>
      </c>
      <c r="J52">
        <f t="shared" si="6"/>
        <v>0</v>
      </c>
      <c r="K52" s="22"/>
      <c r="M52" s="92">
        <v>5</v>
      </c>
      <c r="N52" s="93">
        <v>0.995</v>
      </c>
      <c r="O52" s="93">
        <f t="shared" si="4"/>
        <v>0.83776330102423158</v>
      </c>
      <c r="P52" s="85"/>
    </row>
    <row r="53" spans="1:16" x14ac:dyDescent="0.2">
      <c r="A53" s="23">
        <v>5</v>
      </c>
      <c r="B53" s="54" t="s">
        <v>91</v>
      </c>
      <c r="C53" s="41">
        <f>E8</f>
        <v>0.7</v>
      </c>
      <c r="D53">
        <f t="shared" si="5"/>
        <v>0.58938121680096689</v>
      </c>
      <c r="E53" s="22"/>
      <c r="G53" s="23">
        <v>5</v>
      </c>
      <c r="H53" s="54" t="s">
        <v>84</v>
      </c>
      <c r="I53" s="41">
        <f>E9</f>
        <v>0</v>
      </c>
      <c r="J53">
        <f t="shared" si="6"/>
        <v>0</v>
      </c>
      <c r="K53" s="22"/>
      <c r="M53" s="92">
        <v>6</v>
      </c>
      <c r="N53" s="93">
        <v>0.995</v>
      </c>
      <c r="O53" s="93">
        <f t="shared" si="4"/>
        <v>0.809433141086214</v>
      </c>
      <c r="P53" s="85"/>
    </row>
    <row r="54" spans="1:16" ht="17" thickBot="1" x14ac:dyDescent="0.25">
      <c r="A54" s="23">
        <v>6</v>
      </c>
      <c r="B54" s="54" t="s">
        <v>91</v>
      </c>
      <c r="C54" s="41">
        <f>E8</f>
        <v>0.7</v>
      </c>
      <c r="D54">
        <f t="shared" si="5"/>
        <v>0.56945045101542691</v>
      </c>
      <c r="E54" s="22"/>
      <c r="G54" s="26"/>
      <c r="H54" s="31"/>
      <c r="I54" s="31" t="s">
        <v>86</v>
      </c>
      <c r="J54" s="66">
        <f>SUM(J49:J53)</f>
        <v>1.3297859926719411</v>
      </c>
      <c r="K54" s="29"/>
      <c r="M54" s="92">
        <v>7</v>
      </c>
      <c r="N54" s="93">
        <v>0.98599999999999999</v>
      </c>
      <c r="O54" s="93">
        <f t="shared" si="4"/>
        <v>0.7749870872342457</v>
      </c>
      <c r="P54" s="85"/>
    </row>
    <row r="55" spans="1:16" x14ac:dyDescent="0.2">
      <c r="A55" s="23">
        <v>7</v>
      </c>
      <c r="B55" s="54" t="s">
        <v>91</v>
      </c>
      <c r="C55" s="41">
        <f>E8</f>
        <v>0.7</v>
      </c>
      <c r="D55">
        <f t="shared" si="5"/>
        <v>0.55019367247867335</v>
      </c>
      <c r="E55" s="22"/>
      <c r="M55" s="92">
        <v>8</v>
      </c>
      <c r="N55" s="93">
        <v>0.98599999999999999</v>
      </c>
      <c r="O55" s="93">
        <f t="shared" si="4"/>
        <v>0.74877979442922304</v>
      </c>
      <c r="P55" s="85"/>
    </row>
    <row r="56" spans="1:16" x14ac:dyDescent="0.2">
      <c r="A56" s="23">
        <v>8</v>
      </c>
      <c r="B56" s="54" t="s">
        <v>84</v>
      </c>
      <c r="C56" s="41">
        <f>E9</f>
        <v>0</v>
      </c>
      <c r="D56">
        <f t="shared" si="5"/>
        <v>0</v>
      </c>
      <c r="E56" s="22"/>
      <c r="M56" s="92">
        <v>9</v>
      </c>
      <c r="N56" s="93">
        <v>0.98599999999999999</v>
      </c>
      <c r="O56" s="93">
        <f t="shared" si="4"/>
        <v>0.72345873857895959</v>
      </c>
      <c r="P56" s="85"/>
    </row>
    <row r="57" spans="1:16" x14ac:dyDescent="0.2">
      <c r="A57" s="23">
        <v>9</v>
      </c>
      <c r="B57" s="54" t="s">
        <v>84</v>
      </c>
      <c r="C57" s="41">
        <f>E9</f>
        <v>0</v>
      </c>
      <c r="D57">
        <f t="shared" si="5"/>
        <v>0</v>
      </c>
      <c r="E57" s="22"/>
      <c r="M57" s="92">
        <v>10</v>
      </c>
      <c r="N57" s="93">
        <v>0.98599999999999999</v>
      </c>
      <c r="O57" s="93">
        <f t="shared" si="4"/>
        <v>0.6989939503178354</v>
      </c>
      <c r="P57" s="85"/>
    </row>
    <row r="58" spans="1:16" x14ac:dyDescent="0.2">
      <c r="A58" s="23">
        <v>10</v>
      </c>
      <c r="B58" s="54" t="s">
        <v>84</v>
      </c>
      <c r="C58" s="41">
        <f>E9</f>
        <v>0</v>
      </c>
      <c r="D58">
        <f t="shared" si="5"/>
        <v>0</v>
      </c>
      <c r="E58" s="22"/>
      <c r="M58" s="92">
        <v>11</v>
      </c>
      <c r="N58" s="93">
        <v>0.98599999999999999</v>
      </c>
      <c r="O58" s="93">
        <f t="shared" si="4"/>
        <v>0.675356473737039</v>
      </c>
      <c r="P58" s="85"/>
    </row>
    <row r="59" spans="1:16" ht="17" thickBot="1" x14ac:dyDescent="0.25">
      <c r="A59" s="26"/>
      <c r="B59" s="31"/>
      <c r="C59" s="31" t="s">
        <v>86</v>
      </c>
      <c r="D59" s="66">
        <f>SUM(D49:D58)</f>
        <v>4.2801807863236245</v>
      </c>
      <c r="E59" s="29"/>
      <c r="M59" s="92">
        <v>12</v>
      </c>
      <c r="N59" s="93">
        <v>0.98599999999999999</v>
      </c>
      <c r="O59" s="93">
        <f t="shared" si="4"/>
        <v>0.65251833211308119</v>
      </c>
      <c r="P59" s="85"/>
    </row>
    <row r="60" spans="1:16" x14ac:dyDescent="0.2">
      <c r="M60" s="92">
        <v>13</v>
      </c>
      <c r="N60" s="93">
        <v>0.98599999999999999</v>
      </c>
      <c r="O60" s="93">
        <f t="shared" si="4"/>
        <v>0.63045249479524768</v>
      </c>
      <c r="P60" s="85"/>
    </row>
    <row r="61" spans="1:16" x14ac:dyDescent="0.2">
      <c r="M61" s="92">
        <v>14</v>
      </c>
      <c r="N61" s="93">
        <v>0.97199999999999998</v>
      </c>
      <c r="O61" s="93">
        <f t="shared" si="4"/>
        <v>0.60048390014892616</v>
      </c>
      <c r="P61" s="85"/>
    </row>
    <row r="62" spans="1:16" ht="17" thickBot="1" x14ac:dyDescent="0.25">
      <c r="A62" s="3" t="s">
        <v>98</v>
      </c>
      <c r="M62" s="92">
        <v>15</v>
      </c>
      <c r="N62" s="93">
        <v>0.97199999999999998</v>
      </c>
      <c r="O62" s="93">
        <f t="shared" si="4"/>
        <v>0.58017768130331038</v>
      </c>
      <c r="P62" s="85"/>
    </row>
    <row r="63" spans="1:16" ht="17" thickBot="1" x14ac:dyDescent="0.25">
      <c r="A63" s="68" t="s">
        <v>99</v>
      </c>
      <c r="B63" s="48"/>
      <c r="M63" s="89"/>
      <c r="N63" s="90" t="s">
        <v>120</v>
      </c>
      <c r="O63" s="94">
        <f>SUM(O48:O62)</f>
        <v>11.401126892242047</v>
      </c>
      <c r="P63" s="91"/>
    </row>
    <row r="64" spans="1:16" x14ac:dyDescent="0.2">
      <c r="A64" s="23" t="s">
        <v>100</v>
      </c>
      <c r="B64" s="69">
        <v>53</v>
      </c>
    </row>
    <row r="65" spans="1:7" x14ac:dyDescent="0.2">
      <c r="A65" s="23" t="s">
        <v>101</v>
      </c>
      <c r="B65" s="69">
        <v>668</v>
      </c>
    </row>
    <row r="66" spans="1:7" x14ac:dyDescent="0.2">
      <c r="A66" s="23" t="s">
        <v>104</v>
      </c>
      <c r="B66" s="69">
        <v>3527</v>
      </c>
    </row>
    <row r="67" spans="1:7" x14ac:dyDescent="0.2">
      <c r="A67" s="23" t="s">
        <v>102</v>
      </c>
      <c r="B67" s="69">
        <v>107</v>
      </c>
    </row>
    <row r="68" spans="1:7" x14ac:dyDescent="0.2">
      <c r="A68" s="23" t="s">
        <v>103</v>
      </c>
      <c r="B68" s="69">
        <v>214</v>
      </c>
    </row>
    <row r="69" spans="1:7" ht="17" thickBot="1" x14ac:dyDescent="0.25">
      <c r="A69" s="26" t="s">
        <v>115</v>
      </c>
      <c r="B69" s="70">
        <v>0</v>
      </c>
    </row>
    <row r="70" spans="1:7" ht="17" thickBot="1" x14ac:dyDescent="0.25"/>
    <row r="71" spans="1:7" x14ac:dyDescent="0.2">
      <c r="A71" s="56" t="s">
        <v>105</v>
      </c>
      <c r="B71" s="47"/>
      <c r="C71" s="48"/>
      <c r="E71" s="56" t="s">
        <v>110</v>
      </c>
      <c r="F71" s="47"/>
      <c r="G71" s="48"/>
    </row>
    <row r="72" spans="1:7" x14ac:dyDescent="0.2">
      <c r="A72" s="71" t="s">
        <v>106</v>
      </c>
      <c r="B72" s="72" t="s">
        <v>107</v>
      </c>
      <c r="C72" s="73" t="s">
        <v>108</v>
      </c>
      <c r="D72" s="74"/>
      <c r="E72" s="71" t="s">
        <v>106</v>
      </c>
      <c r="F72" s="72" t="s">
        <v>107</v>
      </c>
      <c r="G72" s="73" t="s">
        <v>108</v>
      </c>
    </row>
    <row r="73" spans="1:7" x14ac:dyDescent="0.2">
      <c r="A73" s="23">
        <v>1</v>
      </c>
      <c r="B73">
        <f>B$67</f>
        <v>107</v>
      </c>
      <c r="C73" s="42">
        <f>B73/((1+B$14)^$A73)</f>
        <v>103.38164251207731</v>
      </c>
      <c r="E73" s="23">
        <v>1</v>
      </c>
      <c r="F73">
        <f>B$67</f>
        <v>107</v>
      </c>
      <c r="G73" s="22">
        <f>F73/((1+B$14)^E73)</f>
        <v>103.38164251207731</v>
      </c>
    </row>
    <row r="74" spans="1:7" x14ac:dyDescent="0.2">
      <c r="A74" s="23">
        <v>2</v>
      </c>
      <c r="B74">
        <f t="shared" ref="B74:B82" si="7">B$67</f>
        <v>107</v>
      </c>
      <c r="C74" s="42">
        <f t="shared" ref="C74:C82" si="8">B74/((1+B$14)^$A74)</f>
        <v>99.885644939205122</v>
      </c>
      <c r="E74" s="23">
        <v>2</v>
      </c>
      <c r="F74">
        <f t="shared" ref="F74:F82" si="9">B$67</f>
        <v>107</v>
      </c>
      <c r="G74" s="22">
        <f t="shared" ref="G74:G82" si="10">F74/((1+B$14)^E74)</f>
        <v>99.885644939205122</v>
      </c>
    </row>
    <row r="75" spans="1:7" x14ac:dyDescent="0.2">
      <c r="A75" s="23">
        <v>3</v>
      </c>
      <c r="B75">
        <f t="shared" si="7"/>
        <v>107</v>
      </c>
      <c r="C75" s="42">
        <f t="shared" si="8"/>
        <v>96.5078695064784</v>
      </c>
      <c r="E75" s="23">
        <v>3</v>
      </c>
      <c r="F75">
        <f t="shared" si="9"/>
        <v>107</v>
      </c>
      <c r="G75" s="22">
        <f t="shared" si="10"/>
        <v>96.5078695064784</v>
      </c>
    </row>
    <row r="76" spans="1:7" x14ac:dyDescent="0.2">
      <c r="A76" s="23">
        <v>4</v>
      </c>
      <c r="B76">
        <f t="shared" si="7"/>
        <v>107</v>
      </c>
      <c r="C76" s="42">
        <f t="shared" si="8"/>
        <v>93.24431836374724</v>
      </c>
      <c r="E76" s="23">
        <v>4</v>
      </c>
      <c r="F76">
        <f t="shared" si="9"/>
        <v>107</v>
      </c>
      <c r="G76" s="22">
        <f t="shared" si="10"/>
        <v>93.24431836374724</v>
      </c>
    </row>
    <row r="77" spans="1:7" x14ac:dyDescent="0.2">
      <c r="A77" s="23">
        <v>5</v>
      </c>
      <c r="B77">
        <f t="shared" si="7"/>
        <v>107</v>
      </c>
      <c r="C77" s="42">
        <f t="shared" si="8"/>
        <v>90.091128853862088</v>
      </c>
      <c r="E77" s="23">
        <v>5</v>
      </c>
      <c r="F77">
        <f t="shared" si="9"/>
        <v>107</v>
      </c>
      <c r="G77" s="22">
        <f t="shared" si="10"/>
        <v>90.091128853862088</v>
      </c>
    </row>
    <row r="78" spans="1:7" x14ac:dyDescent="0.2">
      <c r="A78" s="23">
        <v>6</v>
      </c>
      <c r="B78">
        <f t="shared" si="7"/>
        <v>107</v>
      </c>
      <c r="C78" s="42">
        <f t="shared" si="8"/>
        <v>87.044568940929551</v>
      </c>
      <c r="E78" s="23">
        <v>6</v>
      </c>
      <c r="F78">
        <f t="shared" si="9"/>
        <v>107</v>
      </c>
      <c r="G78" s="22">
        <f t="shared" si="10"/>
        <v>87.044568940929551</v>
      </c>
    </row>
    <row r="79" spans="1:7" x14ac:dyDescent="0.2">
      <c r="A79" s="23">
        <v>7</v>
      </c>
      <c r="B79">
        <f t="shared" si="7"/>
        <v>107</v>
      </c>
      <c r="C79" s="42">
        <f t="shared" si="8"/>
        <v>84.101032793168656</v>
      </c>
      <c r="E79" s="23">
        <v>7</v>
      </c>
      <c r="F79">
        <f t="shared" si="9"/>
        <v>107</v>
      </c>
      <c r="G79" s="22">
        <f t="shared" si="10"/>
        <v>84.101032793168656</v>
      </c>
    </row>
    <row r="80" spans="1:7" x14ac:dyDescent="0.2">
      <c r="A80" s="23">
        <v>8</v>
      </c>
      <c r="B80">
        <f t="shared" si="7"/>
        <v>107</v>
      </c>
      <c r="C80" s="42">
        <f t="shared" si="8"/>
        <v>81.257036515138807</v>
      </c>
      <c r="E80" s="23">
        <v>8</v>
      </c>
      <c r="F80">
        <f t="shared" si="9"/>
        <v>107</v>
      </c>
      <c r="G80" s="22">
        <f t="shared" si="10"/>
        <v>81.257036515138807</v>
      </c>
    </row>
    <row r="81" spans="1:7" x14ac:dyDescent="0.2">
      <c r="A81" s="23">
        <v>9</v>
      </c>
      <c r="B81">
        <f t="shared" si="7"/>
        <v>107</v>
      </c>
      <c r="C81" s="42">
        <f t="shared" si="8"/>
        <v>78.50921402428871</v>
      </c>
      <c r="E81" s="23">
        <v>9</v>
      </c>
      <c r="F81">
        <f t="shared" si="9"/>
        <v>107</v>
      </c>
      <c r="G81" s="22">
        <f t="shared" si="10"/>
        <v>78.50921402428871</v>
      </c>
    </row>
    <row r="82" spans="1:7" x14ac:dyDescent="0.2">
      <c r="A82" s="23">
        <v>10</v>
      </c>
      <c r="B82">
        <f t="shared" si="7"/>
        <v>107</v>
      </c>
      <c r="C82" s="42">
        <f t="shared" si="8"/>
        <v>75.854313066945622</v>
      </c>
      <c r="E82" s="23">
        <v>10</v>
      </c>
      <c r="F82">
        <f t="shared" si="9"/>
        <v>107</v>
      </c>
      <c r="G82" s="22">
        <f t="shared" si="10"/>
        <v>75.854313066945622</v>
      </c>
    </row>
    <row r="83" spans="1:7" ht="17" thickBot="1" x14ac:dyDescent="0.25">
      <c r="A83" s="26" t="s">
        <v>109</v>
      </c>
      <c r="B83" s="31">
        <f>SUM(B73:B82)</f>
        <v>1070</v>
      </c>
      <c r="C83" s="78">
        <f>SUM(C73:C82)</f>
        <v>889.87676951584149</v>
      </c>
      <c r="E83" s="26" t="s">
        <v>109</v>
      </c>
      <c r="F83" s="31">
        <f>SUM(F73:F82)</f>
        <v>1070</v>
      </c>
      <c r="G83" s="77">
        <f>SUM(G73:G82)</f>
        <v>889.87676951584149</v>
      </c>
    </row>
    <row r="84" spans="1:7" ht="17" thickBot="1" x14ac:dyDescent="0.25"/>
    <row r="85" spans="1:7" x14ac:dyDescent="0.2">
      <c r="A85" s="56" t="s">
        <v>111</v>
      </c>
      <c r="B85" s="47"/>
      <c r="C85" s="48"/>
      <c r="E85" s="56" t="s">
        <v>112</v>
      </c>
      <c r="F85" s="47"/>
      <c r="G85" s="48"/>
    </row>
    <row r="86" spans="1:7" x14ac:dyDescent="0.2">
      <c r="A86" s="71" t="s">
        <v>106</v>
      </c>
      <c r="B86" s="72" t="s">
        <v>107</v>
      </c>
      <c r="C86" s="73" t="s">
        <v>108</v>
      </c>
      <c r="D86" s="74"/>
      <c r="E86" s="71" t="s">
        <v>106</v>
      </c>
      <c r="F86" s="72" t="s">
        <v>107</v>
      </c>
      <c r="G86" s="73" t="s">
        <v>108</v>
      </c>
    </row>
    <row r="87" spans="1:7" x14ac:dyDescent="0.2">
      <c r="A87" s="23">
        <v>1</v>
      </c>
      <c r="B87">
        <f>B$68</f>
        <v>214</v>
      </c>
      <c r="C87" s="22">
        <f>B87/((1+B$14)^A87)</f>
        <v>206.76328502415461</v>
      </c>
      <c r="E87" s="23">
        <v>1</v>
      </c>
      <c r="F87">
        <f>B$68</f>
        <v>214</v>
      </c>
      <c r="G87" s="22">
        <f>F87/((1+B$14)^E87)</f>
        <v>206.76328502415461</v>
      </c>
    </row>
    <row r="88" spans="1:7" x14ac:dyDescent="0.2">
      <c r="A88" s="23">
        <v>2</v>
      </c>
      <c r="B88">
        <f t="shared" ref="B88:B96" si="11">B$68</f>
        <v>214</v>
      </c>
      <c r="C88" s="22">
        <f t="shared" ref="C88:C96" si="12">B88/((1+B$14)^A88)</f>
        <v>199.77128987841024</v>
      </c>
      <c r="E88" s="23">
        <v>2</v>
      </c>
      <c r="F88">
        <f t="shared" ref="F88:F91" si="13">B$68</f>
        <v>214</v>
      </c>
      <c r="G88" s="22">
        <f t="shared" ref="G88:G96" si="14">F88/((1+B$14)^E88)</f>
        <v>199.77128987841024</v>
      </c>
    </row>
    <row r="89" spans="1:7" x14ac:dyDescent="0.2">
      <c r="A89" s="23">
        <v>3</v>
      </c>
      <c r="B89">
        <f t="shared" si="11"/>
        <v>214</v>
      </c>
      <c r="C89" s="22">
        <f t="shared" si="12"/>
        <v>193.0157390129568</v>
      </c>
      <c r="E89" s="23">
        <v>3</v>
      </c>
      <c r="F89">
        <f t="shared" si="13"/>
        <v>214</v>
      </c>
      <c r="G89" s="22">
        <f t="shared" si="14"/>
        <v>193.0157390129568</v>
      </c>
    </row>
    <row r="90" spans="1:7" x14ac:dyDescent="0.2">
      <c r="A90" s="23">
        <v>4</v>
      </c>
      <c r="B90">
        <f t="shared" si="11"/>
        <v>214</v>
      </c>
      <c r="C90" s="22">
        <f t="shared" si="12"/>
        <v>186.48863672749448</v>
      </c>
      <c r="E90" s="23">
        <v>4</v>
      </c>
      <c r="F90">
        <f t="shared" si="13"/>
        <v>214</v>
      </c>
      <c r="G90" s="22">
        <f t="shared" si="14"/>
        <v>186.48863672749448</v>
      </c>
    </row>
    <row r="91" spans="1:7" x14ac:dyDescent="0.2">
      <c r="A91" s="23">
        <v>5</v>
      </c>
      <c r="B91">
        <f t="shared" si="11"/>
        <v>214</v>
      </c>
      <c r="C91" s="22">
        <f t="shared" si="12"/>
        <v>180.18225770772418</v>
      </c>
      <c r="E91" s="23">
        <v>5</v>
      </c>
      <c r="F91">
        <f t="shared" si="13"/>
        <v>214</v>
      </c>
      <c r="G91" s="22">
        <f t="shared" si="14"/>
        <v>180.18225770772418</v>
      </c>
    </row>
    <row r="92" spans="1:7" x14ac:dyDescent="0.2">
      <c r="A92" s="23">
        <v>6</v>
      </c>
      <c r="B92">
        <f t="shared" si="11"/>
        <v>214</v>
      </c>
      <c r="C92" s="22">
        <f t="shared" si="12"/>
        <v>174.0891378818591</v>
      </c>
      <c r="E92" s="23">
        <v>6</v>
      </c>
      <c r="F92">
        <v>0</v>
      </c>
      <c r="G92" s="22">
        <f t="shared" si="14"/>
        <v>0</v>
      </c>
    </row>
    <row r="93" spans="1:7" x14ac:dyDescent="0.2">
      <c r="A93" s="23">
        <v>7</v>
      </c>
      <c r="B93">
        <f t="shared" si="11"/>
        <v>214</v>
      </c>
      <c r="C93" s="22">
        <f t="shared" si="12"/>
        <v>168.20206558633731</v>
      </c>
      <c r="E93" s="23">
        <v>7</v>
      </c>
      <c r="F93">
        <v>0</v>
      </c>
      <c r="G93" s="22">
        <f t="shared" si="14"/>
        <v>0</v>
      </c>
    </row>
    <row r="94" spans="1:7" x14ac:dyDescent="0.2">
      <c r="A94" s="23">
        <v>8</v>
      </c>
      <c r="B94">
        <f t="shared" si="11"/>
        <v>214</v>
      </c>
      <c r="C94" s="22">
        <f t="shared" si="12"/>
        <v>162.51407303027761</v>
      </c>
      <c r="E94" s="23">
        <v>8</v>
      </c>
      <c r="F94">
        <v>0</v>
      </c>
      <c r="G94" s="22">
        <f t="shared" si="14"/>
        <v>0</v>
      </c>
    </row>
    <row r="95" spans="1:7" x14ac:dyDescent="0.2">
      <c r="A95" s="23">
        <v>9</v>
      </c>
      <c r="B95">
        <f t="shared" si="11"/>
        <v>214</v>
      </c>
      <c r="C95" s="22">
        <f t="shared" si="12"/>
        <v>157.01842804857742</v>
      </c>
      <c r="E95" s="23">
        <v>9</v>
      </c>
      <c r="F95">
        <v>0</v>
      </c>
      <c r="G95" s="22">
        <f t="shared" si="14"/>
        <v>0</v>
      </c>
    </row>
    <row r="96" spans="1:7" x14ac:dyDescent="0.2">
      <c r="A96" s="23">
        <v>10</v>
      </c>
      <c r="B96">
        <f t="shared" si="11"/>
        <v>214</v>
      </c>
      <c r="C96" s="22">
        <f t="shared" si="12"/>
        <v>151.70862613389124</v>
      </c>
      <c r="E96" s="23">
        <v>10</v>
      </c>
      <c r="F96">
        <v>0</v>
      </c>
      <c r="G96" s="22">
        <f t="shared" si="14"/>
        <v>0</v>
      </c>
    </row>
    <row r="97" spans="1:7" ht="17" thickBot="1" x14ac:dyDescent="0.25">
      <c r="A97" s="26" t="s">
        <v>109</v>
      </c>
      <c r="B97" s="31">
        <f>SUM(B87:B96)</f>
        <v>2140</v>
      </c>
      <c r="C97" s="77">
        <f>SUM(C87:C96)</f>
        <v>1779.753539031683</v>
      </c>
      <c r="E97" s="26" t="s">
        <v>109</v>
      </c>
      <c r="F97" s="31">
        <f>SUM(F87:F96)</f>
        <v>1070</v>
      </c>
      <c r="G97" s="77">
        <f>SUM(G87:G96)</f>
        <v>966.22120835074031</v>
      </c>
    </row>
    <row r="98" spans="1:7" ht="17" thickBot="1" x14ac:dyDescent="0.25"/>
    <row r="99" spans="1:7" x14ac:dyDescent="0.2">
      <c r="A99" s="61" t="s">
        <v>113</v>
      </c>
      <c r="B99" s="47"/>
      <c r="C99" s="48"/>
      <c r="E99" s="45" t="s">
        <v>114</v>
      </c>
      <c r="F99" s="47"/>
      <c r="G99" s="48"/>
    </row>
    <row r="100" spans="1:7" x14ac:dyDescent="0.2">
      <c r="A100" s="71" t="s">
        <v>106</v>
      </c>
      <c r="B100" s="72" t="s">
        <v>107</v>
      </c>
      <c r="C100" s="73" t="s">
        <v>108</v>
      </c>
      <c r="E100" s="71" t="s">
        <v>106</v>
      </c>
      <c r="F100" s="72" t="s">
        <v>107</v>
      </c>
      <c r="G100" s="73" t="s">
        <v>108</v>
      </c>
    </row>
    <row r="101" spans="1:7" x14ac:dyDescent="0.2">
      <c r="A101" s="23">
        <v>1</v>
      </c>
      <c r="B101">
        <f>B$68</f>
        <v>214</v>
      </c>
      <c r="C101" s="22">
        <f>B101/((1+B$14)^A101)</f>
        <v>206.76328502415461</v>
      </c>
      <c r="E101" s="23">
        <v>1</v>
      </c>
      <c r="F101">
        <f>B$68</f>
        <v>214</v>
      </c>
      <c r="G101" s="22">
        <f>F101/((1+B$14)^E101)</f>
        <v>206.76328502415461</v>
      </c>
    </row>
    <row r="102" spans="1:7" x14ac:dyDescent="0.2">
      <c r="A102" s="23">
        <v>2</v>
      </c>
      <c r="B102">
        <f t="shared" ref="B102:B110" si="15">B$68</f>
        <v>214</v>
      </c>
      <c r="C102" s="22">
        <f t="shared" ref="C102:C110" si="16">B102/((1+B$14)^A102)</f>
        <v>199.77128987841024</v>
      </c>
      <c r="E102" s="23">
        <v>2</v>
      </c>
      <c r="F102">
        <f t="shared" ref="F102:F105" si="17">B$68</f>
        <v>214</v>
      </c>
      <c r="G102" s="22">
        <f t="shared" ref="G102:G110" si="18">F102/((1+B$14)^E102)</f>
        <v>199.77128987841024</v>
      </c>
    </row>
    <row r="103" spans="1:7" x14ac:dyDescent="0.2">
      <c r="A103" s="23">
        <v>3</v>
      </c>
      <c r="B103">
        <f t="shared" si="15"/>
        <v>214</v>
      </c>
      <c r="C103" s="22">
        <f t="shared" si="16"/>
        <v>193.0157390129568</v>
      </c>
      <c r="E103" s="23">
        <v>3</v>
      </c>
      <c r="F103">
        <f t="shared" si="17"/>
        <v>214</v>
      </c>
      <c r="G103" s="22">
        <f t="shared" si="18"/>
        <v>193.0157390129568</v>
      </c>
    </row>
    <row r="104" spans="1:7" x14ac:dyDescent="0.2">
      <c r="A104" s="23">
        <v>4</v>
      </c>
      <c r="B104">
        <f t="shared" si="15"/>
        <v>214</v>
      </c>
      <c r="C104" s="22">
        <f t="shared" si="16"/>
        <v>186.48863672749448</v>
      </c>
      <c r="E104" s="23">
        <v>4</v>
      </c>
      <c r="F104">
        <f t="shared" si="17"/>
        <v>214</v>
      </c>
      <c r="G104" s="22">
        <f t="shared" si="18"/>
        <v>186.48863672749448</v>
      </c>
    </row>
    <row r="105" spans="1:7" x14ac:dyDescent="0.2">
      <c r="A105" s="23">
        <v>5</v>
      </c>
      <c r="B105">
        <f t="shared" si="15"/>
        <v>214</v>
      </c>
      <c r="C105" s="22">
        <f t="shared" si="16"/>
        <v>180.18225770772418</v>
      </c>
      <c r="E105" s="23">
        <v>5</v>
      </c>
      <c r="F105">
        <f t="shared" si="17"/>
        <v>214</v>
      </c>
      <c r="G105" s="22">
        <f t="shared" si="18"/>
        <v>180.18225770772418</v>
      </c>
    </row>
    <row r="106" spans="1:7" x14ac:dyDescent="0.2">
      <c r="A106" s="23">
        <v>6</v>
      </c>
      <c r="B106">
        <f t="shared" si="15"/>
        <v>214</v>
      </c>
      <c r="C106" s="22">
        <f t="shared" si="16"/>
        <v>174.0891378818591</v>
      </c>
      <c r="E106" s="23">
        <v>6</v>
      </c>
      <c r="F106">
        <v>0</v>
      </c>
      <c r="G106" s="22">
        <f t="shared" si="18"/>
        <v>0</v>
      </c>
    </row>
    <row r="107" spans="1:7" x14ac:dyDescent="0.2">
      <c r="A107" s="23">
        <v>7</v>
      </c>
      <c r="B107">
        <f t="shared" si="15"/>
        <v>214</v>
      </c>
      <c r="C107" s="22">
        <f t="shared" si="16"/>
        <v>168.20206558633731</v>
      </c>
      <c r="E107" s="23">
        <v>7</v>
      </c>
      <c r="F107">
        <v>0</v>
      </c>
      <c r="G107" s="22">
        <f t="shared" si="18"/>
        <v>0</v>
      </c>
    </row>
    <row r="108" spans="1:7" x14ac:dyDescent="0.2">
      <c r="A108" s="23">
        <v>8</v>
      </c>
      <c r="B108">
        <f t="shared" si="15"/>
        <v>214</v>
      </c>
      <c r="C108" s="22">
        <f t="shared" si="16"/>
        <v>162.51407303027761</v>
      </c>
      <c r="E108" s="23">
        <v>8</v>
      </c>
      <c r="F108">
        <v>0</v>
      </c>
      <c r="G108" s="22">
        <f t="shared" si="18"/>
        <v>0</v>
      </c>
    </row>
    <row r="109" spans="1:7" x14ac:dyDescent="0.2">
      <c r="A109" s="23">
        <v>9</v>
      </c>
      <c r="B109">
        <f t="shared" si="15"/>
        <v>214</v>
      </c>
      <c r="C109" s="22">
        <f t="shared" si="16"/>
        <v>157.01842804857742</v>
      </c>
      <c r="E109" s="23">
        <v>9</v>
      </c>
      <c r="F109">
        <v>0</v>
      </c>
      <c r="G109" s="22">
        <f t="shared" si="18"/>
        <v>0</v>
      </c>
    </row>
    <row r="110" spans="1:7" x14ac:dyDescent="0.2">
      <c r="A110" s="23">
        <v>10</v>
      </c>
      <c r="B110">
        <f t="shared" si="15"/>
        <v>214</v>
      </c>
      <c r="C110" s="22">
        <f t="shared" si="16"/>
        <v>151.70862613389124</v>
      </c>
      <c r="E110" s="23">
        <v>10</v>
      </c>
      <c r="F110">
        <v>0</v>
      </c>
      <c r="G110" s="22">
        <f t="shared" si="18"/>
        <v>0</v>
      </c>
    </row>
    <row r="111" spans="1:7" ht="17" thickBot="1" x14ac:dyDescent="0.25">
      <c r="A111" s="26" t="s">
        <v>109</v>
      </c>
      <c r="B111" s="31">
        <f>SUM(B101:B110)</f>
        <v>2140</v>
      </c>
      <c r="C111" s="77">
        <f>SUM(C101:C110)</f>
        <v>1779.753539031683</v>
      </c>
      <c r="E111" s="26" t="s">
        <v>109</v>
      </c>
      <c r="F111" s="31">
        <f>SUM(F101:F110)</f>
        <v>1070</v>
      </c>
      <c r="G111" s="77">
        <f>SUM(G101:G110)</f>
        <v>966.22120835074031</v>
      </c>
    </row>
    <row r="112" spans="1:7" ht="17" thickBot="1" x14ac:dyDescent="0.25"/>
    <row r="113" spans="1:3" x14ac:dyDescent="0.2">
      <c r="A113" s="61" t="s">
        <v>147</v>
      </c>
      <c r="B113" s="47"/>
      <c r="C113" s="48"/>
    </row>
    <row r="114" spans="1:3" x14ac:dyDescent="0.2">
      <c r="A114" s="71" t="s">
        <v>106</v>
      </c>
      <c r="B114" s="72" t="s">
        <v>107</v>
      </c>
      <c r="C114" s="73" t="s">
        <v>108</v>
      </c>
    </row>
    <row r="115" spans="1:3" x14ac:dyDescent="0.2">
      <c r="A115" s="92">
        <v>1</v>
      </c>
      <c r="B115">
        <f>$B$68</f>
        <v>214</v>
      </c>
      <c r="C115" s="22">
        <f>B115/((1+$B$14)^A115)</f>
        <v>206.76328502415461</v>
      </c>
    </row>
    <row r="116" spans="1:3" x14ac:dyDescent="0.2">
      <c r="A116" s="92">
        <v>2</v>
      </c>
      <c r="B116">
        <f t="shared" ref="B116:B129" si="19">$B$68</f>
        <v>214</v>
      </c>
      <c r="C116" s="22">
        <f t="shared" ref="C116:C129" si="20">B116/((1+$B$14)^A116)</f>
        <v>199.77128987841024</v>
      </c>
    </row>
    <row r="117" spans="1:3" x14ac:dyDescent="0.2">
      <c r="A117" s="92">
        <v>3</v>
      </c>
      <c r="B117">
        <f t="shared" si="19"/>
        <v>214</v>
      </c>
      <c r="C117" s="22">
        <f t="shared" si="20"/>
        <v>193.0157390129568</v>
      </c>
    </row>
    <row r="118" spans="1:3" x14ac:dyDescent="0.2">
      <c r="A118" s="92">
        <v>4</v>
      </c>
      <c r="B118">
        <f t="shared" si="19"/>
        <v>214</v>
      </c>
      <c r="C118" s="22">
        <f t="shared" si="20"/>
        <v>186.48863672749448</v>
      </c>
    </row>
    <row r="119" spans="1:3" x14ac:dyDescent="0.2">
      <c r="A119" s="92">
        <v>5</v>
      </c>
      <c r="B119">
        <f t="shared" si="19"/>
        <v>214</v>
      </c>
      <c r="C119" s="22">
        <f t="shared" si="20"/>
        <v>180.18225770772418</v>
      </c>
    </row>
    <row r="120" spans="1:3" x14ac:dyDescent="0.2">
      <c r="A120" s="92">
        <v>6</v>
      </c>
      <c r="B120">
        <f t="shared" si="19"/>
        <v>214</v>
      </c>
      <c r="C120" s="22">
        <f t="shared" si="20"/>
        <v>174.0891378818591</v>
      </c>
    </row>
    <row r="121" spans="1:3" x14ac:dyDescent="0.2">
      <c r="A121" s="92">
        <v>7</v>
      </c>
      <c r="B121">
        <f t="shared" si="19"/>
        <v>214</v>
      </c>
      <c r="C121" s="22">
        <f t="shared" si="20"/>
        <v>168.20206558633731</v>
      </c>
    </row>
    <row r="122" spans="1:3" x14ac:dyDescent="0.2">
      <c r="A122" s="92">
        <v>8</v>
      </c>
      <c r="B122">
        <f t="shared" si="19"/>
        <v>214</v>
      </c>
      <c r="C122" s="22">
        <f t="shared" si="20"/>
        <v>162.51407303027761</v>
      </c>
    </row>
    <row r="123" spans="1:3" x14ac:dyDescent="0.2">
      <c r="A123" s="92">
        <v>9</v>
      </c>
      <c r="B123">
        <f t="shared" si="19"/>
        <v>214</v>
      </c>
      <c r="C123" s="22">
        <f t="shared" si="20"/>
        <v>157.01842804857742</v>
      </c>
    </row>
    <row r="124" spans="1:3" x14ac:dyDescent="0.2">
      <c r="A124" s="92">
        <v>10</v>
      </c>
      <c r="B124">
        <f t="shared" si="19"/>
        <v>214</v>
      </c>
      <c r="C124" s="22">
        <f t="shared" si="20"/>
        <v>151.70862613389124</v>
      </c>
    </row>
    <row r="125" spans="1:3" x14ac:dyDescent="0.2">
      <c r="A125" s="92">
        <v>11</v>
      </c>
      <c r="B125">
        <f t="shared" si="19"/>
        <v>214</v>
      </c>
      <c r="C125" s="22">
        <f t="shared" si="20"/>
        <v>146.57838273805916</v>
      </c>
    </row>
    <row r="126" spans="1:3" x14ac:dyDescent="0.2">
      <c r="A126" s="92">
        <v>12</v>
      </c>
      <c r="B126">
        <f t="shared" si="19"/>
        <v>214</v>
      </c>
      <c r="C126" s="22">
        <f t="shared" si="20"/>
        <v>141.62162583387359</v>
      </c>
    </row>
    <row r="127" spans="1:3" x14ac:dyDescent="0.2">
      <c r="A127" s="92">
        <v>13</v>
      </c>
      <c r="B127">
        <f t="shared" si="19"/>
        <v>214</v>
      </c>
      <c r="C127" s="22">
        <f t="shared" si="20"/>
        <v>136.83248872838033</v>
      </c>
    </row>
    <row r="128" spans="1:3" x14ac:dyDescent="0.2">
      <c r="A128" s="92">
        <v>14</v>
      </c>
      <c r="B128">
        <f t="shared" si="19"/>
        <v>214</v>
      </c>
      <c r="C128" s="22">
        <f t="shared" si="20"/>
        <v>132.20530311920803</v>
      </c>
    </row>
    <row r="129" spans="1:3" x14ac:dyDescent="0.2">
      <c r="A129" s="92">
        <v>15</v>
      </c>
      <c r="B129">
        <f t="shared" si="19"/>
        <v>214</v>
      </c>
      <c r="C129" s="22">
        <f t="shared" si="20"/>
        <v>127.73459238570825</v>
      </c>
    </row>
    <row r="130" spans="1:3" ht="17" thickBot="1" x14ac:dyDescent="0.25">
      <c r="A130" s="26" t="s">
        <v>109</v>
      </c>
      <c r="B130" s="31">
        <f>SUM(B115:B129)</f>
        <v>3210</v>
      </c>
      <c r="C130" s="77">
        <f>SUM(C115:C129)</f>
        <v>2464.7259318369124</v>
      </c>
    </row>
  </sheetData>
  <mergeCells count="1">
    <mergeCell ref="M46:P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236A-0A5C-2E40-BC67-9EC60200A876}">
  <dimension ref="C2:BT162"/>
  <sheetViews>
    <sheetView showGridLines="0" topLeftCell="AL22" zoomScale="65" zoomScaleNormal="50" workbookViewId="0">
      <selection activeCell="F126" sqref="F126"/>
    </sheetView>
  </sheetViews>
  <sheetFormatPr baseColWidth="10" defaultRowHeight="16" x14ac:dyDescent="0.2"/>
  <cols>
    <col min="11" max="15" width="10.83203125" customWidth="1"/>
  </cols>
  <sheetData>
    <row r="2" spans="11:52" ht="59" x14ac:dyDescent="0.55000000000000004">
      <c r="K2" s="15"/>
      <c r="L2" s="15"/>
      <c r="M2" s="15"/>
      <c r="N2" s="15"/>
      <c r="O2" s="15"/>
      <c r="P2" s="15" t="s">
        <v>44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</row>
    <row r="5" spans="11:52" ht="11" customHeight="1" x14ac:dyDescent="0.2"/>
    <row r="9" spans="11:52" x14ac:dyDescent="0.2">
      <c r="AB9" s="3"/>
      <c r="AC9" s="3"/>
      <c r="AD9" s="3"/>
      <c r="AE9" s="3"/>
      <c r="AF9" s="3"/>
      <c r="AG9" s="3"/>
      <c r="AH9" s="3"/>
      <c r="AI9" s="3"/>
      <c r="AJ9" s="3"/>
      <c r="AK9" s="3"/>
      <c r="AR9" s="3"/>
      <c r="AS9" s="3"/>
      <c r="AT9" s="3"/>
      <c r="AU9" s="3"/>
      <c r="AV9" s="3"/>
      <c r="AW9" s="3"/>
    </row>
    <row r="10" spans="11:52" x14ac:dyDescent="0.2">
      <c r="AB10" s="3"/>
      <c r="AC10" s="3"/>
      <c r="AD10" s="3"/>
      <c r="AE10" s="3"/>
      <c r="AF10" s="3"/>
      <c r="AG10" s="3"/>
      <c r="AH10" s="3"/>
      <c r="AI10" s="3"/>
      <c r="AJ10" s="3"/>
      <c r="AK10" s="3"/>
      <c r="AR10" s="3"/>
      <c r="AS10" s="3"/>
      <c r="AT10" s="3"/>
      <c r="AU10" s="3"/>
      <c r="AV10" s="3"/>
      <c r="AW10" s="3"/>
    </row>
    <row r="11" spans="11:52" x14ac:dyDescent="0.2">
      <c r="AB11" s="3"/>
      <c r="AC11" s="3"/>
      <c r="AD11" s="3"/>
      <c r="AE11" s="3"/>
      <c r="AF11" s="3"/>
      <c r="AG11" s="3"/>
    </row>
    <row r="12" spans="11:52" x14ac:dyDescent="0.2"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I12" s="3"/>
    </row>
    <row r="13" spans="11:52" ht="17" thickBot="1" x14ac:dyDescent="0.25"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I13" s="3"/>
      <c r="AJ13" s="3"/>
      <c r="AN13" s="3"/>
      <c r="AO13" s="3"/>
      <c r="AP13" s="3"/>
      <c r="AQ13" s="3"/>
      <c r="AR13" s="79" t="s">
        <v>30</v>
      </c>
      <c r="AS13" s="3"/>
    </row>
    <row r="14" spans="11:52" ht="17" thickBot="1" x14ac:dyDescent="0.25"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I14" s="3"/>
      <c r="AJ14" s="3"/>
      <c r="AN14" s="3"/>
      <c r="AO14" s="3"/>
      <c r="AP14" s="3"/>
      <c r="AQ14" s="3"/>
      <c r="AR14" s="36">
        <f>p_sVDgivenS</f>
        <v>0.1</v>
      </c>
      <c r="AT14" s="3" t="s">
        <v>107</v>
      </c>
      <c r="AU14" s="80">
        <f>'Costs &amp; QALY'!C111</f>
        <v>1779.753539031683</v>
      </c>
      <c r="AV14" s="3" t="s">
        <v>74</v>
      </c>
      <c r="AW14" s="81">
        <f>'Costs &amp; QALY'!D44</f>
        <v>7.6053225271947431</v>
      </c>
    </row>
    <row r="15" spans="11:52" ht="17" thickBot="1" x14ac:dyDescent="0.25"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I15" s="3"/>
      <c r="AJ15" s="79" t="s">
        <v>31</v>
      </c>
      <c r="AM15" s="3" t="s">
        <v>117</v>
      </c>
      <c r="AN15" s="100">
        <f>AR14*AW14+AR18*AW18</f>
        <v>4.3724785924150167</v>
      </c>
      <c r="AO15" s="5"/>
      <c r="AP15" s="5"/>
      <c r="AQ15" s="3"/>
      <c r="AR15" s="3"/>
      <c r="AT15" s="3"/>
      <c r="AU15" s="3"/>
      <c r="AV15" s="3"/>
      <c r="AW15" s="3"/>
    </row>
    <row r="16" spans="11:52" ht="17" thickBot="1" x14ac:dyDescent="0.25"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I16" s="3"/>
      <c r="AJ16" s="37">
        <f>p_SickgivenPositive</f>
        <v>0.98709677419354835</v>
      </c>
      <c r="AM16" s="3"/>
      <c r="AN16" s="100"/>
      <c r="AO16" s="5"/>
      <c r="AP16" s="5"/>
      <c r="AQ16" s="3"/>
      <c r="AR16" s="3"/>
      <c r="AU16" s="3"/>
    </row>
    <row r="17" spans="11:71" ht="17" thickBot="1" x14ac:dyDescent="0.25"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79" t="s">
        <v>32</v>
      </c>
      <c r="AE17" s="79"/>
      <c r="AG17" s="3" t="s">
        <v>117</v>
      </c>
      <c r="AH17" s="99">
        <f>AJ16*AN15+AJ20*AQ20</f>
        <v>4.4631708285418172</v>
      </c>
      <c r="AI17" s="3"/>
      <c r="AJ17" s="3"/>
      <c r="AM17" s="3" t="s">
        <v>118</v>
      </c>
      <c r="AN17" s="100">
        <f>AR14*AU14+AR18*AU18</f>
        <v>1047.5744414188346</v>
      </c>
      <c r="AO17" s="5"/>
      <c r="AP17" s="5"/>
      <c r="AQ17" s="3"/>
      <c r="AR17" s="79" t="s">
        <v>29</v>
      </c>
      <c r="BJ17" s="3"/>
    </row>
    <row r="18" spans="11:71" ht="17" thickBot="1" x14ac:dyDescent="0.25"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8">
        <v>1</v>
      </c>
      <c r="AE18" s="3"/>
      <c r="AF18" s="3"/>
      <c r="AG18" s="3"/>
      <c r="AH18" s="99"/>
      <c r="AI18" s="3"/>
      <c r="AJ18" s="3"/>
      <c r="AQ18" s="3"/>
      <c r="AR18" s="36">
        <f>p_MVDgivenS</f>
        <v>0.9</v>
      </c>
      <c r="AT18" t="s">
        <v>107</v>
      </c>
      <c r="AU18" s="82">
        <f>'Costs &amp; QALY'!G111</f>
        <v>966.22120835074031</v>
      </c>
      <c r="AV18" t="s">
        <v>74</v>
      </c>
      <c r="AW18" s="83">
        <f>'Costs &amp; QALY'!J39</f>
        <v>4.0132737107728245</v>
      </c>
    </row>
    <row r="19" spans="11:71" ht="17" thickBot="1" x14ac:dyDescent="0.25"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 t="s">
        <v>118</v>
      </c>
      <c r="AH19" s="99">
        <f>AJ16*AN17+AJ20*AL20</f>
        <v>1065.8602671016483</v>
      </c>
      <c r="AI19" s="3"/>
      <c r="AJ19" s="79" t="s">
        <v>33</v>
      </c>
      <c r="AL19" s="3"/>
      <c r="AM19" s="3"/>
      <c r="AN19" s="3"/>
      <c r="AO19" s="3"/>
      <c r="AP19" s="3"/>
      <c r="AQ19" s="3"/>
      <c r="AR19" s="3"/>
    </row>
    <row r="20" spans="11:71" ht="17" thickBot="1" x14ac:dyDescent="0.25"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I20" s="3"/>
      <c r="AJ20" s="39">
        <f>p_HealthyGivenPositive</f>
        <v>1.2903225806451606E-2</v>
      </c>
      <c r="AK20" s="3" t="s">
        <v>107</v>
      </c>
      <c r="AL20" s="82">
        <f>'Costs &amp; QALY'!C130</f>
        <v>2464.7259318369124</v>
      </c>
      <c r="AN20" t="s">
        <v>74</v>
      </c>
      <c r="AQ20" s="83">
        <f>'Costs &amp; QALY'!O63</f>
        <v>11.401126892242047</v>
      </c>
      <c r="AR20" s="3"/>
    </row>
    <row r="21" spans="11:71" x14ac:dyDescent="0.2"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I21" s="3"/>
      <c r="AJ21" s="3"/>
      <c r="AK21" s="3"/>
      <c r="AM21" s="3"/>
    </row>
    <row r="22" spans="11:71" x14ac:dyDescent="0.2"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1:71" x14ac:dyDescent="0.2"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1:71" x14ac:dyDescent="0.2"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1:71" ht="17" thickBot="1" x14ac:dyDescent="0.25"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Y25" s="3"/>
      <c r="AZ25" s="79" t="s">
        <v>32</v>
      </c>
      <c r="BB25" s="3" t="s">
        <v>107</v>
      </c>
      <c r="BC25" s="82">
        <f>'Costs &amp; QALY'!C111</f>
        <v>1779.753539031683</v>
      </c>
      <c r="BE25" t="s">
        <v>74</v>
      </c>
      <c r="BF25" s="83">
        <f>'Costs &amp; QALY'!D44</f>
        <v>7.6053225271947431</v>
      </c>
      <c r="BL25" s="3"/>
      <c r="BM25" s="79" t="s">
        <v>23</v>
      </c>
      <c r="BO25" s="3"/>
      <c r="BR25" s="3"/>
    </row>
    <row r="26" spans="11:71" ht="17" thickBot="1" x14ac:dyDescent="0.25"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79" t="s">
        <v>7</v>
      </c>
      <c r="Y26" s="79"/>
      <c r="Z26" s="79"/>
      <c r="AA26" s="3" t="s">
        <v>117</v>
      </c>
      <c r="AB26" s="106">
        <f>IF(AH43&gt;AH17,AH43,AH17)</f>
        <v>5.1054063947931594</v>
      </c>
      <c r="AC26" s="3"/>
      <c r="AD26" s="3"/>
      <c r="AE26" s="3"/>
      <c r="AF26" s="3"/>
      <c r="AO26" s="3"/>
      <c r="AP26" s="3"/>
      <c r="AU26" s="3"/>
      <c r="AV26" s="3"/>
      <c r="AW26" s="3"/>
      <c r="AX26" s="3"/>
      <c r="AY26" s="3"/>
      <c r="AZ26" s="14">
        <v>1</v>
      </c>
      <c r="BA26" s="9"/>
      <c r="BB26" s="9"/>
      <c r="BC26" s="9"/>
      <c r="BD26" s="9"/>
      <c r="BL26" s="3"/>
      <c r="BM26" s="36">
        <f>p_successSVDCABG</f>
        <v>0.85</v>
      </c>
      <c r="BO26" s="3" t="s">
        <v>107</v>
      </c>
      <c r="BP26" s="82">
        <f>'Costs &amp; QALY'!C83</f>
        <v>889.87676951584149</v>
      </c>
      <c r="BR26" s="3" t="s">
        <v>74</v>
      </c>
      <c r="BS26" s="83">
        <f>'Costs &amp; QALY'!D29</f>
        <v>8.1631160430422991</v>
      </c>
    </row>
    <row r="27" spans="11:71" ht="17" thickBot="1" x14ac:dyDescent="0.25"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8">
        <f>p_TestPositive</f>
        <v>0.77500000000000002</v>
      </c>
      <c r="Y27" s="3"/>
      <c r="Z27" s="3"/>
      <c r="AA27" s="3"/>
      <c r="AB27" s="104"/>
      <c r="AC27" s="3"/>
      <c r="AD27" s="3"/>
      <c r="AE27" s="3"/>
      <c r="AF27" s="3"/>
      <c r="AO27" s="3"/>
      <c r="AP27" s="9"/>
      <c r="AU27" s="9"/>
      <c r="AV27" s="9" t="s">
        <v>34</v>
      </c>
      <c r="AW27" s="9" t="s">
        <v>117</v>
      </c>
      <c r="AX27" s="102">
        <f>IF(BC29&gt;BF25,BC29,BF25)</f>
        <v>7.8370636051952101</v>
      </c>
      <c r="AY27" s="9"/>
      <c r="AZ27" s="3"/>
      <c r="BA27" s="3"/>
      <c r="BB27" s="3"/>
      <c r="BC27" s="3"/>
      <c r="BD27" s="9"/>
      <c r="BE27" s="9" t="s">
        <v>34</v>
      </c>
      <c r="BJ27" s="3" t="s">
        <v>117</v>
      </c>
      <c r="BK27" s="99">
        <f>BM26*BS26+BM30*BS30</f>
        <v>8.0794470156651652</v>
      </c>
      <c r="BL27" s="9"/>
      <c r="BM27" s="3"/>
      <c r="BO27" s="3"/>
      <c r="BR27" s="3"/>
    </row>
    <row r="28" spans="11:71" ht="17" thickBot="1" x14ac:dyDescent="0.25"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 t="s">
        <v>118</v>
      </c>
      <c r="AB28" s="104">
        <f>IF(AH45&gt;AH19,AH45,AH19)</f>
        <v>5021.288470024956</v>
      </c>
      <c r="AC28" s="3"/>
      <c r="AD28" s="3"/>
      <c r="AE28" s="3"/>
      <c r="AF28" s="3"/>
      <c r="AO28" s="3"/>
      <c r="AP28" s="9"/>
      <c r="AU28" s="9"/>
      <c r="AV28" s="12">
        <f>p_AliveGivenSVDANG</f>
        <v>0.99970000000000003</v>
      </c>
      <c r="AW28" s="9"/>
      <c r="AX28" s="102"/>
      <c r="AY28" s="9"/>
      <c r="AZ28" s="9"/>
      <c r="BA28" s="9" t="s">
        <v>27</v>
      </c>
      <c r="BB28" s="9"/>
      <c r="BC28" s="9"/>
      <c r="BD28" s="9"/>
      <c r="BE28" s="95">
        <f>p_AliveGivenSVDCABG</f>
        <v>0.97</v>
      </c>
      <c r="BJ28" s="3"/>
      <c r="BK28" s="99"/>
      <c r="BL28" s="9"/>
      <c r="BM28" s="3"/>
      <c r="BO28" s="3"/>
      <c r="BR28" s="3"/>
    </row>
    <row r="29" spans="11:71" ht="17" thickBot="1" x14ac:dyDescent="0.25"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O29" s="3"/>
      <c r="AP29" s="9" t="s">
        <v>21</v>
      </c>
      <c r="AS29" s="3" t="s">
        <v>117</v>
      </c>
      <c r="AT29" s="105">
        <f>AV28*AX27+AV35*BB35</f>
        <v>7.8347124861136521</v>
      </c>
      <c r="AU29" s="9"/>
      <c r="AV29" s="9"/>
      <c r="AW29" s="9" t="s">
        <v>118</v>
      </c>
      <c r="AX29" s="102">
        <f>IF(BA31&gt;BC25,BA31,BC25)</f>
        <v>4519.6575363949214</v>
      </c>
      <c r="AY29" s="9"/>
      <c r="AZ29" s="9" t="s">
        <v>27</v>
      </c>
      <c r="BA29" s="9">
        <f>cost_CABG</f>
        <v>3527</v>
      </c>
      <c r="BB29" s="11" t="s">
        <v>117</v>
      </c>
      <c r="BC29" s="108">
        <f>BE28*BK27+BE32*BK32</f>
        <v>7.8370636051952101</v>
      </c>
      <c r="BD29" s="9"/>
      <c r="BE29" s="9"/>
      <c r="BJ29" s="3" t="s">
        <v>118</v>
      </c>
      <c r="BK29" s="99">
        <f>BM30*BP30+BM26*BP26</f>
        <v>1023.3582849432178</v>
      </c>
      <c r="BL29" s="9"/>
      <c r="BM29" s="79" t="s">
        <v>24</v>
      </c>
      <c r="BO29" s="3"/>
      <c r="BR29" s="3"/>
    </row>
    <row r="30" spans="11:71" ht="17" thickBot="1" x14ac:dyDescent="0.25"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 t="s">
        <v>130</v>
      </c>
      <c r="AB30" t="str">
        <f>IF(AH43&gt;AH17,AD43,AD17)</f>
        <v>ANG</v>
      </c>
      <c r="AO30" s="3"/>
      <c r="AP30" s="12">
        <f>p_sVDgivenS</f>
        <v>0.1</v>
      </c>
      <c r="AS30" s="3"/>
      <c r="AT30" s="105"/>
      <c r="AU30" s="9"/>
      <c r="AV30" s="9"/>
      <c r="AW30" t="s">
        <v>130</v>
      </c>
      <c r="AX30" s="9" t="str">
        <f>IF(BC29&gt;BF25,AZ29,AZ25)</f>
        <v>CABG</v>
      </c>
      <c r="AY30" s="9"/>
      <c r="AZ30" s="13">
        <v>1</v>
      </c>
      <c r="BA30" s="101"/>
      <c r="BB30" s="101"/>
      <c r="BC30" s="103"/>
      <c r="BD30" s="9"/>
      <c r="BE30" s="9"/>
      <c r="BL30" s="9"/>
      <c r="BM30" s="36">
        <f>p_CABGfailSVD</f>
        <v>0.15000000000000002</v>
      </c>
      <c r="BO30" s="3" t="s">
        <v>107</v>
      </c>
      <c r="BP30" s="82">
        <f>'Costs &amp; QALY'!C97</f>
        <v>1779.753539031683</v>
      </c>
      <c r="BR30" s="3" t="s">
        <v>74</v>
      </c>
      <c r="BS30" s="83">
        <f>'Costs &amp; QALY'!D44</f>
        <v>7.6053225271947431</v>
      </c>
    </row>
    <row r="31" spans="11:71" ht="17" thickBot="1" x14ac:dyDescent="0.25">
      <c r="AA31" s="3" t="s">
        <v>148</v>
      </c>
      <c r="AB31">
        <f>(AB26*base_threshold)-AB28</f>
        <v>148140.90337376983</v>
      </c>
      <c r="AS31" s="3" t="s">
        <v>118</v>
      </c>
      <c r="AT31" s="105">
        <f>AV28*AX29+AV35*AY35</f>
        <v>4518.3016391340034</v>
      </c>
      <c r="AW31" s="129" t="s">
        <v>148</v>
      </c>
      <c r="AX31">
        <f>('The Decision Tree'!AX27*base_threshold)-'The Decision Tree'!AX29</f>
        <v>230592.25061946138</v>
      </c>
      <c r="AZ31" t="s">
        <v>123</v>
      </c>
      <c r="BA31">
        <f>BC31+BA29</f>
        <v>4519.6575363949214</v>
      </c>
      <c r="BB31" s="3" t="s">
        <v>118</v>
      </c>
      <c r="BC31" s="105">
        <f>BE28*BK29+BE32*BH32</f>
        <v>992.65753639492118</v>
      </c>
      <c r="BD31" s="9"/>
      <c r="BE31" s="9" t="s">
        <v>35</v>
      </c>
      <c r="BL31" s="9"/>
    </row>
    <row r="32" spans="11:71" ht="17" thickBot="1" x14ac:dyDescent="0.25">
      <c r="AS32" s="3"/>
      <c r="BD32" s="9"/>
      <c r="BE32" s="10">
        <f>Inputs!C46</f>
        <v>0.03</v>
      </c>
      <c r="BF32" s="9"/>
      <c r="BG32" s="3" t="s">
        <v>107</v>
      </c>
      <c r="BH32" s="82">
        <v>0</v>
      </c>
      <c r="BJ32" t="s">
        <v>74</v>
      </c>
      <c r="BK32" s="83">
        <v>0</v>
      </c>
      <c r="BL32" s="3"/>
    </row>
    <row r="33" spans="11:71" x14ac:dyDescent="0.2">
      <c r="BD33" s="3"/>
      <c r="BE33" s="3"/>
      <c r="BL33" s="3"/>
    </row>
    <row r="34" spans="11:71" ht="17" thickBot="1" x14ac:dyDescent="0.25">
      <c r="AP34" s="9"/>
      <c r="AU34" s="9"/>
      <c r="AV34" s="9" t="s">
        <v>35</v>
      </c>
      <c r="AW34" s="9"/>
    </row>
    <row r="35" spans="11:71" ht="17" thickBot="1" x14ac:dyDescent="0.25">
      <c r="AP35" s="9"/>
      <c r="AU35" s="9"/>
      <c r="AV35" s="10">
        <f>p_DeathGivenSVDANG</f>
        <v>2.9999999999999997E-4</v>
      </c>
      <c r="AW35" s="9"/>
      <c r="AX35" s="3" t="s">
        <v>107</v>
      </c>
      <c r="AY35" s="82">
        <v>0</v>
      </c>
      <c r="BA35" t="s">
        <v>74</v>
      </c>
      <c r="BB35" s="83">
        <v>0</v>
      </c>
    </row>
    <row r="36" spans="11:71" x14ac:dyDescent="0.2"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O36" s="3"/>
      <c r="BM36" s="3"/>
      <c r="BO36" s="3"/>
      <c r="BR36" s="3"/>
    </row>
    <row r="37" spans="11:71" x14ac:dyDescent="0.2"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J37" s="3"/>
      <c r="AK37" s="110" t="s">
        <v>26</v>
      </c>
      <c r="AO37" s="3"/>
    </row>
    <row r="38" spans="11:71" ht="17" thickBot="1" x14ac:dyDescent="0.25"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J38" s="79" t="s">
        <v>7</v>
      </c>
      <c r="AK38" s="110">
        <f>cost_ANG</f>
        <v>668</v>
      </c>
      <c r="AM38" s="3" t="s">
        <v>117</v>
      </c>
      <c r="AN38" s="105">
        <f>AP30*AT29+AP43*AT42</f>
        <v>5.0231392016941996</v>
      </c>
      <c r="AO38" s="3"/>
      <c r="AP38" s="9"/>
      <c r="AU38" s="3"/>
      <c r="AV38" s="3"/>
      <c r="AW38" s="3"/>
      <c r="AY38" s="3"/>
      <c r="AZ38" s="79" t="s">
        <v>32</v>
      </c>
      <c r="BA38" s="79"/>
      <c r="BB38" s="79"/>
      <c r="BC38" s="79"/>
      <c r="BM38" s="79" t="s">
        <v>23</v>
      </c>
      <c r="BO38" s="3"/>
      <c r="BR38" s="3"/>
    </row>
    <row r="39" spans="11:71" ht="17" thickBot="1" x14ac:dyDescent="0.25"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8">
        <f>p_SickgivenPositive</f>
        <v>0.98709677419354835</v>
      </c>
      <c r="AM39" s="3"/>
      <c r="AN39" s="105"/>
      <c r="AO39" s="3"/>
      <c r="AP39" s="9"/>
      <c r="AU39" s="3"/>
      <c r="AV39" s="3"/>
      <c r="AW39" s="3"/>
      <c r="AX39" s="3"/>
      <c r="AY39" s="3"/>
      <c r="AZ39" s="36">
        <v>1</v>
      </c>
      <c r="BB39" s="3" t="s">
        <v>107</v>
      </c>
      <c r="BC39" s="82">
        <f>'Costs &amp; QALY'!G111</f>
        <v>966.22120835074031</v>
      </c>
      <c r="BE39" t="s">
        <v>74</v>
      </c>
      <c r="BF39" s="83">
        <f>'Costs &amp; QALY'!J39</f>
        <v>4.0132737107728245</v>
      </c>
      <c r="BL39" s="3"/>
      <c r="BM39" s="36">
        <f>p_CABGsucessMVD</f>
        <v>0.7</v>
      </c>
      <c r="BO39" s="84" t="s">
        <v>107</v>
      </c>
      <c r="BP39" s="82">
        <f>'Costs &amp; QALY'!G83</f>
        <v>889.87676951584149</v>
      </c>
      <c r="BR39" s="3" t="s">
        <v>74</v>
      </c>
      <c r="BS39" s="83">
        <f>'Costs &amp; QALY'!J29</f>
        <v>5.602164726003819</v>
      </c>
    </row>
    <row r="40" spans="11:71" ht="17" thickBot="1" x14ac:dyDescent="0.25"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 t="s">
        <v>124</v>
      </c>
      <c r="AK40">
        <f>AN40+AK38</f>
        <v>5045.9820057553407</v>
      </c>
      <c r="AM40" s="3" t="s">
        <v>118</v>
      </c>
      <c r="AN40" s="105">
        <f>AP30*AT31+AP43*AT44</f>
        <v>4377.9820057553407</v>
      </c>
      <c r="AO40" s="3"/>
      <c r="AP40" s="3"/>
      <c r="AU40" s="9"/>
      <c r="AV40" s="9" t="s">
        <v>34</v>
      </c>
      <c r="AW40" s="9" t="s">
        <v>117</v>
      </c>
      <c r="AX40" s="102">
        <f>IF(BC42&gt;BF39,BC42,BF39)</f>
        <v>4.7154576277197586</v>
      </c>
      <c r="AY40" s="9"/>
      <c r="AZ40" s="9"/>
      <c r="BA40" s="9"/>
      <c r="BB40" s="9"/>
      <c r="BC40" s="9"/>
      <c r="BD40" s="9"/>
      <c r="BE40" s="9" t="s">
        <v>34</v>
      </c>
      <c r="BJ40" s="3" t="s">
        <v>117</v>
      </c>
      <c r="BK40" s="105">
        <f>BM39*BS39+BM43*BS43</f>
        <v>5.1254974214345204</v>
      </c>
      <c r="BL40" s="9"/>
      <c r="BM40" s="3"/>
      <c r="BO40" s="3"/>
      <c r="BR40" s="3"/>
    </row>
    <row r="41" spans="11:71" ht="17" thickBot="1" x14ac:dyDescent="0.25"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O41" s="3"/>
      <c r="AP41" s="3"/>
      <c r="AU41" s="9"/>
      <c r="AV41" s="12">
        <f>p_AliveGivenMVDANG</f>
        <v>0.999</v>
      </c>
      <c r="AW41" s="9"/>
      <c r="AX41" s="102"/>
      <c r="AY41" s="9"/>
      <c r="AZ41" s="9"/>
      <c r="BA41" s="109" t="s">
        <v>27</v>
      </c>
      <c r="BB41" s="9"/>
      <c r="BC41" s="9"/>
      <c r="BD41" s="9"/>
      <c r="BE41" s="12">
        <f>p_AliveGiivenMVDCABG</f>
        <v>0.92</v>
      </c>
      <c r="BJ41" s="3"/>
      <c r="BK41" s="105"/>
      <c r="BL41" s="9"/>
      <c r="BM41" s="3"/>
      <c r="BO41" s="3"/>
      <c r="BR41" s="3"/>
    </row>
    <row r="42" spans="11:71" ht="17" thickBot="1" x14ac:dyDescent="0.25"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J42" s="79"/>
      <c r="AO42" s="3"/>
      <c r="AP42" s="79" t="s">
        <v>22</v>
      </c>
      <c r="AS42" s="3" t="s">
        <v>117</v>
      </c>
      <c r="AT42" s="105">
        <f>AV41*AX40+AV48*BB48</f>
        <v>4.7107421700920389</v>
      </c>
      <c r="AU42" s="9"/>
      <c r="AV42" s="9"/>
      <c r="AW42" s="9" t="s">
        <v>118</v>
      </c>
      <c r="AX42" s="102">
        <f>IF(BA44&gt;BC39,BA44,BC39)</f>
        <v>4366.7576930730065</v>
      </c>
      <c r="AY42" s="9"/>
      <c r="AZ42" s="9" t="s">
        <v>27</v>
      </c>
      <c r="BA42">
        <f>cost_CABG</f>
        <v>3527</v>
      </c>
      <c r="BB42" s="9" t="s">
        <v>117</v>
      </c>
      <c r="BC42" s="105">
        <f>BE41*BK40+BE45*BK45</f>
        <v>4.7154576277197586</v>
      </c>
      <c r="BD42" s="9"/>
      <c r="BE42" s="9"/>
      <c r="BJ42" s="3" t="s">
        <v>118</v>
      </c>
      <c r="BK42" s="105">
        <f>BM39*BP39+BM43*BP43</f>
        <v>912.78010116631117</v>
      </c>
      <c r="BL42" s="9"/>
      <c r="BM42" s="79" t="s">
        <v>24</v>
      </c>
      <c r="BO42" s="3"/>
      <c r="BR42" s="3"/>
    </row>
    <row r="43" spans="11:71" ht="17" thickBot="1" x14ac:dyDescent="0.25">
      <c r="K43" s="3"/>
      <c r="L43" s="3"/>
      <c r="M43" s="3"/>
      <c r="N43" s="3"/>
      <c r="O43" s="3"/>
      <c r="P43" s="3"/>
      <c r="Q43" s="3"/>
      <c r="R43" s="3" t="s">
        <v>125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79" t="s">
        <v>26</v>
      </c>
      <c r="AE43" t="s">
        <v>118</v>
      </c>
      <c r="AG43" s="3" t="s">
        <v>117</v>
      </c>
      <c r="AH43" s="105">
        <f>AJ39*AN38+AJ57*AN56</f>
        <v>5.1054063947931594</v>
      </c>
      <c r="AJ43" s="79"/>
      <c r="AO43" s="3"/>
      <c r="AP43" s="38">
        <f>p_MVDgivenS</f>
        <v>0.9</v>
      </c>
      <c r="AS43" s="3"/>
      <c r="AT43" s="105"/>
      <c r="AU43" s="9"/>
      <c r="AV43" s="9"/>
      <c r="AW43" s="9" t="s">
        <v>130</v>
      </c>
      <c r="AX43" s="9" t="str">
        <f>IF(BC42&gt;BF39,AZ42,AZ38)</f>
        <v>CABG</v>
      </c>
      <c r="AY43" s="9"/>
      <c r="AZ43" s="12">
        <v>1</v>
      </c>
      <c r="BA43" s="9"/>
      <c r="BB43" s="9"/>
      <c r="BC43" s="105"/>
      <c r="BD43" s="9"/>
      <c r="BE43" s="9"/>
      <c r="BL43" s="9"/>
      <c r="BM43" s="36">
        <f>p_CABGfailMVD</f>
        <v>0.30000000000000004</v>
      </c>
      <c r="BO43" s="84" t="s">
        <v>107</v>
      </c>
      <c r="BP43" s="82">
        <f>'Costs &amp; QALY'!G97</f>
        <v>966.22120835074031</v>
      </c>
      <c r="BR43" s="3" t="s">
        <v>74</v>
      </c>
      <c r="BS43" s="83">
        <f>'Costs &amp; QALY'!J39</f>
        <v>4.0132737107728245</v>
      </c>
    </row>
    <row r="44" spans="11:71" ht="17" thickBot="1" x14ac:dyDescent="0.25">
      <c r="K44" s="3"/>
      <c r="L44" s="3"/>
      <c r="M44" s="3"/>
      <c r="N44" s="3"/>
      <c r="O44" s="3"/>
      <c r="P44" s="3"/>
      <c r="Q44" s="79" t="s">
        <v>36</v>
      </c>
      <c r="R44" s="79">
        <f>cost_EST</f>
        <v>53</v>
      </c>
      <c r="S44" s="79"/>
      <c r="T44" s="79"/>
      <c r="U44" s="3" t="s">
        <v>117</v>
      </c>
      <c r="V44" s="106">
        <f>X27*AB26+X74*AB73</f>
        <v>5.5730759862425101</v>
      </c>
      <c r="W44" s="3"/>
      <c r="X44" s="3"/>
      <c r="Y44" s="3"/>
      <c r="Z44" s="3"/>
      <c r="AA44" s="3"/>
      <c r="AB44" s="3"/>
      <c r="AC44" s="3"/>
      <c r="AD44" s="38">
        <v>1</v>
      </c>
      <c r="AE44" s="3"/>
      <c r="AF44" s="3"/>
      <c r="AG44" s="3"/>
      <c r="AH44" s="104"/>
      <c r="AI44" s="3"/>
      <c r="AJ44" s="79"/>
      <c r="AO44" s="3"/>
      <c r="AP44" s="3"/>
      <c r="AS44" s="3" t="s">
        <v>118</v>
      </c>
      <c r="AT44" s="105">
        <f>AV41*AX42+AV48*AY48</f>
        <v>4362.3909353799336</v>
      </c>
      <c r="AW44" s="129" t="s">
        <v>148</v>
      </c>
      <c r="AX44">
        <f>(AX40*base_threshold)-AX42</f>
        <v>137096.97113851976</v>
      </c>
      <c r="AY44" s="9"/>
      <c r="AZ44" s="9" t="s">
        <v>123</v>
      </c>
      <c r="BA44" s="9">
        <f>BC44+BA42</f>
        <v>4366.7576930730065</v>
      </c>
      <c r="BB44" s="9" t="s">
        <v>118</v>
      </c>
      <c r="BC44" s="105">
        <f>BE41*BK42+BE45*BH45</f>
        <v>839.75769307300629</v>
      </c>
      <c r="BD44" s="9"/>
      <c r="BE44" s="9" t="s">
        <v>35</v>
      </c>
      <c r="BL44" s="9"/>
      <c r="BM44" s="3"/>
    </row>
    <row r="45" spans="11:71" ht="17" thickBot="1" x14ac:dyDescent="0.25">
      <c r="K45" s="3"/>
      <c r="L45" s="3"/>
      <c r="M45" s="3"/>
      <c r="N45" s="3"/>
      <c r="O45" s="3"/>
      <c r="P45" s="3"/>
      <c r="Q45" s="38">
        <v>1</v>
      </c>
      <c r="R45" s="3"/>
      <c r="S45" s="3"/>
      <c r="T45" s="3"/>
      <c r="U45" s="3"/>
      <c r="V45" s="104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 t="s">
        <v>118</v>
      </c>
      <c r="AH45" s="104">
        <f>AJ39*AK40+AJ57*AK58</f>
        <v>5021.288470024956</v>
      </c>
      <c r="AI45" s="3"/>
      <c r="AJ45" s="3"/>
      <c r="AO45" s="3"/>
      <c r="AP45" s="3"/>
      <c r="AS45" s="3"/>
      <c r="AY45" s="3"/>
      <c r="AZ45" s="9"/>
      <c r="BA45" s="9"/>
      <c r="BB45" s="9"/>
      <c r="BD45" s="9"/>
      <c r="BE45" s="96">
        <f>p_DaethGivenMVDCABG</f>
        <v>0.08</v>
      </c>
      <c r="BF45" s="9"/>
      <c r="BG45" s="3" t="s">
        <v>116</v>
      </c>
      <c r="BH45" s="82">
        <v>0</v>
      </c>
      <c r="BJ45" s="3" t="s">
        <v>74</v>
      </c>
      <c r="BK45" s="83">
        <v>0</v>
      </c>
    </row>
    <row r="46" spans="11:71" x14ac:dyDescent="0.2">
      <c r="K46" s="3"/>
      <c r="L46" s="3"/>
      <c r="M46" s="3"/>
      <c r="N46" s="3"/>
      <c r="O46" s="3"/>
      <c r="P46" s="3"/>
      <c r="Q46" s="3" t="s">
        <v>126</v>
      </c>
      <c r="R46" s="3">
        <f>V46+R44</f>
        <v>4307.7464477262056</v>
      </c>
      <c r="S46" s="3"/>
      <c r="T46" s="3"/>
      <c r="U46" s="3" t="s">
        <v>118</v>
      </c>
      <c r="V46" s="104">
        <f>X27*AB28+X74*AB75</f>
        <v>4254.7464477262056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O46" s="3"/>
      <c r="AP46" s="3"/>
      <c r="AY46" s="3"/>
      <c r="BA46" s="3"/>
      <c r="BB46" s="3"/>
      <c r="BC46" s="3"/>
      <c r="BD46" s="3"/>
      <c r="BE46" s="3"/>
      <c r="BF46" s="3"/>
      <c r="BG46" s="3"/>
    </row>
    <row r="47" spans="11:71" ht="17" thickBot="1" x14ac:dyDescent="0.25">
      <c r="AU47" s="9"/>
      <c r="AV47" s="9" t="s">
        <v>35</v>
      </c>
      <c r="AW47" s="9"/>
    </row>
    <row r="48" spans="11:71" ht="17" thickBot="1" x14ac:dyDescent="0.25">
      <c r="AU48" s="3"/>
      <c r="AV48" s="40">
        <f>p_DeathGivenMVDANG</f>
        <v>1E-3</v>
      </c>
      <c r="AW48" s="3"/>
      <c r="AX48" s="3" t="s">
        <v>116</v>
      </c>
      <c r="AY48" s="82">
        <v>0</v>
      </c>
      <c r="BA48" s="3" t="s">
        <v>74</v>
      </c>
      <c r="BB48" s="83">
        <v>0</v>
      </c>
    </row>
    <row r="49" spans="11:59" x14ac:dyDescent="0.2">
      <c r="AU49" s="3"/>
      <c r="AV49" s="3"/>
      <c r="AW49" s="3"/>
    </row>
    <row r="52" spans="11:59" ht="17" thickBot="1" x14ac:dyDescent="0.25"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O52" s="3"/>
      <c r="AP52" s="3"/>
      <c r="AU52" s="3"/>
      <c r="AV52" s="79" t="s">
        <v>32</v>
      </c>
      <c r="AW52" s="79"/>
      <c r="AX52" s="3"/>
      <c r="BF52" s="3"/>
    </row>
    <row r="53" spans="11:59" ht="17" thickBot="1" x14ac:dyDescent="0.25"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AG53" s="3"/>
      <c r="AH53" s="3"/>
      <c r="AI53" s="3"/>
      <c r="AJ53" s="3"/>
      <c r="AO53" s="3"/>
      <c r="AP53" s="3"/>
      <c r="AQ53" s="111" t="s">
        <v>127</v>
      </c>
      <c r="AU53" s="3"/>
      <c r="AV53" s="36">
        <v>1</v>
      </c>
      <c r="AW53" s="3"/>
      <c r="AX53" s="3" t="s">
        <v>107</v>
      </c>
      <c r="AY53" s="80">
        <f>'Costs &amp; QALY'!C130</f>
        <v>2464.7259318369124</v>
      </c>
      <c r="BA53" s="3" t="s">
        <v>74</v>
      </c>
      <c r="BB53" s="81">
        <f>'Costs &amp; QALY'!O63</f>
        <v>11.401126892242047</v>
      </c>
      <c r="BF53" s="3"/>
    </row>
    <row r="54" spans="11:59" ht="17" thickBot="1" x14ac:dyDescent="0.25"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AG54" s="3"/>
      <c r="AH54" s="3"/>
      <c r="AI54" s="3"/>
      <c r="AJ54" s="3"/>
      <c r="AO54" s="9"/>
      <c r="AP54" s="9" t="s">
        <v>34</v>
      </c>
      <c r="AQ54" s="111">
        <v>668</v>
      </c>
      <c r="AS54" s="3" t="s">
        <v>117</v>
      </c>
      <c r="AT54" s="105">
        <f>IF(BB57&gt;BB53,BB57,BB53)</f>
        <v>11.401126892242047</v>
      </c>
      <c r="AU54" s="9"/>
      <c r="AV54" s="3"/>
      <c r="AW54" s="3"/>
      <c r="AX54" s="3"/>
      <c r="AZ54" s="9"/>
      <c r="BA54" s="9"/>
      <c r="BB54" s="9"/>
      <c r="BD54" s="9"/>
      <c r="BE54" s="9"/>
      <c r="BF54" s="3"/>
    </row>
    <row r="55" spans="11:59" ht="17" thickBot="1" x14ac:dyDescent="0.25"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AG55" s="3"/>
      <c r="AH55" s="3"/>
      <c r="AI55" s="3"/>
      <c r="AJ55" s="3"/>
      <c r="AK55" s="110" t="s">
        <v>26</v>
      </c>
      <c r="AO55" s="9"/>
      <c r="AP55" s="12">
        <f>Inputs!B54</f>
        <v>0.99980000000000002</v>
      </c>
      <c r="AS55" s="3"/>
      <c r="AT55" s="105"/>
      <c r="AU55" s="9"/>
      <c r="AV55" s="3"/>
      <c r="AW55" s="3"/>
      <c r="AX55" s="3"/>
      <c r="AZ55" s="3"/>
      <c r="BA55" s="3"/>
      <c r="BB55" s="3"/>
      <c r="BD55" s="3"/>
      <c r="BE55" s="3"/>
      <c r="BF55" s="3"/>
    </row>
    <row r="56" spans="11:59" ht="17" thickBot="1" x14ac:dyDescent="0.25"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AG56" s="3"/>
      <c r="AH56" s="3"/>
      <c r="AI56" s="3"/>
      <c r="AJ56" s="79" t="s">
        <v>6</v>
      </c>
      <c r="AK56" s="110">
        <f>cost_ANG</f>
        <v>668</v>
      </c>
      <c r="AM56" s="3" t="s">
        <v>117</v>
      </c>
      <c r="AN56" s="105">
        <f>AP55*AT54+AP59*AV59</f>
        <v>11.3988466668636</v>
      </c>
      <c r="AO56" s="9"/>
      <c r="AP56" s="9" t="s">
        <v>124</v>
      </c>
      <c r="AQ56">
        <f>AT56+AQ54</f>
        <v>3132.7259318369124</v>
      </c>
      <c r="AS56" s="3" t="s">
        <v>118</v>
      </c>
      <c r="AT56" s="105">
        <f>IF(AY57&gt;AY53,AY57,AY53)</f>
        <v>2464.7259318369124</v>
      </c>
      <c r="AU56" s="9"/>
      <c r="AV56" s="79" t="s">
        <v>37</v>
      </c>
      <c r="AW56" s="79"/>
      <c r="AX56" s="3"/>
      <c r="BF56" s="3"/>
    </row>
    <row r="57" spans="11:59" ht="17" thickBot="1" x14ac:dyDescent="0.25"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AG57" s="3"/>
      <c r="AH57" s="3"/>
      <c r="AI57" s="3"/>
      <c r="AJ57" s="38">
        <f>p_HealthyGivenPositive</f>
        <v>1.2903225806451606E-2</v>
      </c>
      <c r="AM57" s="3"/>
      <c r="AN57" s="105"/>
      <c r="AO57" s="9"/>
      <c r="AP57" s="9"/>
      <c r="AS57" s="3" t="s">
        <v>130</v>
      </c>
      <c r="AT57" s="3" t="str">
        <f>IF(BB53&gt;BB57,AV52,AV56)</f>
        <v>No Treat</v>
      </c>
      <c r="AU57" s="9"/>
      <c r="AV57" s="36">
        <v>1</v>
      </c>
      <c r="AW57" s="3"/>
      <c r="AX57" s="3" t="s">
        <v>107</v>
      </c>
      <c r="AY57" s="80">
        <v>0</v>
      </c>
      <c r="BA57" s="3" t="s">
        <v>74</v>
      </c>
      <c r="BB57" s="81">
        <f>'Costs &amp; QALY'!O63</f>
        <v>11.401126892242047</v>
      </c>
      <c r="BF57" s="3"/>
    </row>
    <row r="58" spans="11:59" ht="17" thickBot="1" x14ac:dyDescent="0.25"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AG58" s="3"/>
      <c r="AH58" s="3"/>
      <c r="AI58" s="3"/>
      <c r="AJ58" s="3" t="s">
        <v>124</v>
      </c>
      <c r="AK58">
        <f>AN58+AK56</f>
        <v>3132.2329866505452</v>
      </c>
      <c r="AM58" s="3" t="s">
        <v>118</v>
      </c>
      <c r="AN58" s="105">
        <f>AP55*AT56+AP59*AS59</f>
        <v>2464.2329866505452</v>
      </c>
      <c r="AO58" s="9"/>
      <c r="AP58" s="9" t="s">
        <v>35</v>
      </c>
      <c r="AS58" s="3" t="s">
        <v>148</v>
      </c>
      <c r="AT58">
        <f>(AT54*base_threshold)-AT56</f>
        <v>339569.08083542448</v>
      </c>
      <c r="AU58" s="9"/>
      <c r="BF58" s="3"/>
      <c r="BG58" s="3"/>
    </row>
    <row r="59" spans="11:59" ht="17" thickBot="1" x14ac:dyDescent="0.25"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AG59" s="3"/>
      <c r="AH59" s="3"/>
      <c r="AI59" s="3"/>
      <c r="AJ59" s="3"/>
      <c r="AO59" s="9"/>
      <c r="AP59" s="10">
        <f>Inputs!B48</f>
        <v>2.0000000000000001E-4</v>
      </c>
      <c r="AR59" s="3" t="s">
        <v>116</v>
      </c>
      <c r="AS59" s="82">
        <v>0</v>
      </c>
      <c r="AU59" s="3" t="s">
        <v>74</v>
      </c>
      <c r="AV59" s="83">
        <v>0</v>
      </c>
      <c r="BA59" s="3"/>
      <c r="BD59" s="3"/>
      <c r="BF59" s="3"/>
      <c r="BG59" s="3"/>
    </row>
    <row r="60" spans="11:59" x14ac:dyDescent="0.2"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AR60" s="3"/>
      <c r="AS60" s="3"/>
      <c r="AT60" s="3"/>
      <c r="AU60" s="3"/>
      <c r="AV60" s="3"/>
      <c r="AW60" s="3"/>
      <c r="AX60" s="3"/>
      <c r="AY60" s="3"/>
      <c r="AZ60" s="3"/>
      <c r="BA60" s="3"/>
    </row>
    <row r="61" spans="11:59" x14ac:dyDescent="0.2"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AR61" s="3"/>
      <c r="AS61" s="3"/>
      <c r="AT61" s="3"/>
      <c r="AU61" s="3"/>
      <c r="AV61" s="3"/>
      <c r="AW61" s="3"/>
      <c r="AX61" s="3"/>
      <c r="AY61" s="3"/>
      <c r="AZ61" s="3"/>
      <c r="BA61" s="3"/>
    </row>
    <row r="62" spans="11:59" x14ac:dyDescent="0.2"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</row>
    <row r="63" spans="11:59" ht="17" thickBot="1" x14ac:dyDescent="0.25"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O63" s="3"/>
      <c r="AP63" s="79" t="s">
        <v>30</v>
      </c>
      <c r="AQ63" s="3"/>
      <c r="AR63" s="3" t="s">
        <v>107</v>
      </c>
      <c r="AS63" s="82">
        <f>'Costs &amp; QALY'!C111</f>
        <v>1779.753539031683</v>
      </c>
      <c r="AT63" s="3"/>
      <c r="AU63" t="s">
        <v>74</v>
      </c>
      <c r="AV63" s="83">
        <f>'Costs &amp; QALY'!D44</f>
        <v>7.6053225271947431</v>
      </c>
      <c r="BB63" s="3"/>
    </row>
    <row r="64" spans="11:59" ht="17" thickBot="1" x14ac:dyDescent="0.25"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O64" s="3"/>
      <c r="AP64" s="36">
        <f>p_sVDgivenS</f>
        <v>0.1</v>
      </c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</row>
    <row r="65" spans="11:71" x14ac:dyDescent="0.2"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</row>
    <row r="66" spans="11:71" ht="17" thickBot="1" x14ac:dyDescent="0.25"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79" t="s">
        <v>41</v>
      </c>
      <c r="AM66" s="3" t="s">
        <v>117</v>
      </c>
      <c r="AN66" s="105">
        <f>AP64*AV63+AP70*AV69</f>
        <v>4.3724785924150167</v>
      </c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</row>
    <row r="67" spans="11:71" ht="17" thickBot="1" x14ac:dyDescent="0.25"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8">
        <f>p_SickgivenNegative</f>
        <v>0.60000000000000009</v>
      </c>
      <c r="AM67" s="3"/>
      <c r="AN67" s="105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</row>
    <row r="68" spans="11:71" x14ac:dyDescent="0.2"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M68" s="3" t="s">
        <v>118</v>
      </c>
      <c r="AN68" s="105">
        <f>AP64*AS63+AP70*AS69</f>
        <v>1047.5744414188346</v>
      </c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</row>
    <row r="69" spans="11:71" ht="17" thickBot="1" x14ac:dyDescent="0.25"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79" t="s">
        <v>32</v>
      </c>
      <c r="AG69" s="3" t="s">
        <v>117</v>
      </c>
      <c r="AH69" s="106">
        <f>AJ67*AN66+AJ73*AP72</f>
        <v>7.1839379123458276</v>
      </c>
      <c r="AI69" s="3"/>
      <c r="AJ69" s="3"/>
      <c r="AO69" s="3"/>
      <c r="AP69" s="79" t="s">
        <v>29</v>
      </c>
      <c r="AQ69" s="3"/>
      <c r="AR69" s="3" t="s">
        <v>107</v>
      </c>
      <c r="AS69" s="82">
        <f>'Costs &amp; QALY'!G111</f>
        <v>966.22120835074031</v>
      </c>
      <c r="AT69" s="3"/>
      <c r="AU69" t="s">
        <v>74</v>
      </c>
      <c r="AV69" s="83">
        <f>'Costs &amp; QALY'!J39</f>
        <v>4.0132737107728245</v>
      </c>
      <c r="BB69" s="3"/>
    </row>
    <row r="70" spans="11:71" ht="17" thickBot="1" x14ac:dyDescent="0.25"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8">
        <v>1</v>
      </c>
      <c r="AE70" s="3"/>
      <c r="AF70" s="3"/>
      <c r="AG70" s="3"/>
      <c r="AH70" s="104"/>
      <c r="AI70" s="3"/>
      <c r="AJ70" s="3"/>
      <c r="AO70" s="3"/>
      <c r="AP70" s="36">
        <f>p_MVDgivenS</f>
        <v>0.9</v>
      </c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1:71" x14ac:dyDescent="0.2"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 t="s">
        <v>118</v>
      </c>
      <c r="AH71" s="104">
        <f>AJ67*AN68+AJ73*AM72</f>
        <v>1614.4350375860654</v>
      </c>
      <c r="AI71" s="3"/>
      <c r="AJ71" s="3"/>
      <c r="BB71" s="3"/>
      <c r="BC71" s="3"/>
      <c r="BD71" s="3"/>
      <c r="BE71" s="3"/>
    </row>
    <row r="72" spans="11:71" ht="17" thickBot="1" x14ac:dyDescent="0.25"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H72" s="3"/>
      <c r="AI72" s="3"/>
      <c r="AJ72" s="79" t="s">
        <v>42</v>
      </c>
      <c r="AL72" s="3" t="s">
        <v>107</v>
      </c>
      <c r="AM72" s="82">
        <f>'Costs &amp; QALY'!C130</f>
        <v>2464.7259318369124</v>
      </c>
      <c r="AO72" t="s">
        <v>74</v>
      </c>
      <c r="AP72" s="83">
        <f>'Costs &amp; QALY'!O63</f>
        <v>11.401126892242047</v>
      </c>
      <c r="AZ72" s="3"/>
      <c r="BA72" s="3"/>
      <c r="BE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</row>
    <row r="73" spans="11:71" ht="17" thickBot="1" x14ac:dyDescent="0.25"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79" t="s">
        <v>6</v>
      </c>
      <c r="Y73" s="79"/>
      <c r="Z73" s="79"/>
      <c r="AA73" s="3" t="s">
        <v>117</v>
      </c>
      <c r="AB73" s="106">
        <f>IF(AH69&gt;AH80,AH69,AH80)</f>
        <v>7.1839379123458276</v>
      </c>
      <c r="AC73" s="3"/>
      <c r="AD73" s="3"/>
      <c r="AE73" s="3"/>
      <c r="AF73" s="3"/>
      <c r="AG73" s="3"/>
      <c r="AH73" s="3"/>
      <c r="AI73" s="3"/>
      <c r="AJ73" s="36">
        <f>p_HealthyGivenNegative</f>
        <v>0.39999999999999986</v>
      </c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E73" s="3"/>
      <c r="BS73" s="3"/>
    </row>
    <row r="74" spans="11:71" ht="17" thickBot="1" x14ac:dyDescent="0.25"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8">
        <f>p_TestNegative</f>
        <v>0.22500000000000003</v>
      </c>
      <c r="Y74" s="3"/>
      <c r="Z74" s="3"/>
      <c r="AA74" s="3"/>
      <c r="AB74" s="104"/>
      <c r="AC74" s="3"/>
      <c r="AD74" s="3"/>
      <c r="AE74" s="3"/>
      <c r="AF74" s="3"/>
      <c r="AG74" s="3"/>
      <c r="AH74" s="3"/>
      <c r="AI74" s="3"/>
      <c r="AJ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E74" s="3"/>
      <c r="BS74" s="3"/>
    </row>
    <row r="75" spans="11:71" x14ac:dyDescent="0.2"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 t="s">
        <v>118</v>
      </c>
      <c r="AB75" s="105">
        <f>IF(AH71&gt;AH82,AH71,AH82)</f>
        <v>1614.4350375860654</v>
      </c>
      <c r="BE75" s="3"/>
      <c r="BS75" s="3"/>
    </row>
    <row r="76" spans="11:71" ht="17" thickBot="1" x14ac:dyDescent="0.25"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O76" s="3"/>
      <c r="AP76" s="79" t="s">
        <v>30</v>
      </c>
      <c r="AQ76" s="3"/>
      <c r="AR76" s="3" t="s">
        <v>107</v>
      </c>
      <c r="AS76" s="82">
        <v>0</v>
      </c>
      <c r="AU76" t="s">
        <v>74</v>
      </c>
      <c r="AV76" s="83">
        <f>'Costs &amp; QALY'!D59</f>
        <v>4.2801807863236245</v>
      </c>
      <c r="BB76" s="3"/>
      <c r="BC76" s="3"/>
      <c r="BE76" s="3"/>
      <c r="BS76" s="3"/>
    </row>
    <row r="77" spans="11:71" ht="17" thickBot="1" x14ac:dyDescent="0.25">
      <c r="K77" s="79" t="s">
        <v>15</v>
      </c>
      <c r="L77" s="79"/>
      <c r="M77" s="79"/>
      <c r="N77" s="3" t="s">
        <v>117</v>
      </c>
      <c r="O77" s="106">
        <f>IF(V108&gt;V44,V108,V44)</f>
        <v>5.6607099482111396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 t="s">
        <v>130</v>
      </c>
      <c r="AB77" t="str">
        <f>IF(AH69&gt;AH80,AD69,AD80)</f>
        <v>MM</v>
      </c>
      <c r="AO77" s="3"/>
      <c r="AP77" s="36">
        <f>p_sVDgivenS</f>
        <v>0.1</v>
      </c>
      <c r="AQ77" s="3"/>
      <c r="AR77" s="3"/>
      <c r="AS77" s="3"/>
      <c r="AU77" s="3"/>
      <c r="AV77" s="3"/>
      <c r="AW77" s="3"/>
      <c r="AX77" s="3"/>
      <c r="AY77" s="3"/>
      <c r="BB77" s="3"/>
      <c r="BC77" s="3"/>
      <c r="BE77" s="3"/>
      <c r="BS77" s="3"/>
    </row>
    <row r="78" spans="11:71" ht="17" thickBot="1" x14ac:dyDescent="0.25">
      <c r="K78" s="38">
        <v>1</v>
      </c>
      <c r="L78" s="3"/>
      <c r="M78" s="3"/>
      <c r="N78" s="3"/>
      <c r="O78" s="104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79" t="s">
        <v>41</v>
      </c>
      <c r="AM78" s="3" t="s">
        <v>117</v>
      </c>
      <c r="AN78" s="105">
        <f>AP77*AV76+AP81*AV80</f>
        <v>1.6248254720371094</v>
      </c>
      <c r="AO78" s="3"/>
      <c r="AP78" s="3"/>
      <c r="AQ78" s="3"/>
      <c r="AR78" s="3"/>
      <c r="AS78" s="3"/>
      <c r="AU78" s="3"/>
      <c r="AV78" s="3"/>
      <c r="AW78" s="3"/>
      <c r="AX78" s="3"/>
      <c r="AY78" s="3"/>
      <c r="BB78" s="3"/>
      <c r="BC78" s="3"/>
      <c r="BE78" s="3"/>
      <c r="BS78" s="3"/>
    </row>
    <row r="79" spans="11:71" ht="17" thickBot="1" x14ac:dyDescent="0.25">
      <c r="K79" s="3"/>
      <c r="L79" s="3"/>
      <c r="M79" s="3"/>
      <c r="N79" s="3" t="s">
        <v>118</v>
      </c>
      <c r="O79" s="104">
        <f>IF(V110&gt;V46,V110,V46)</f>
        <v>4854.5937438448609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8">
        <f>p_SickgivenNegative</f>
        <v>0.60000000000000009</v>
      </c>
      <c r="AM79" s="3"/>
      <c r="AN79" s="105"/>
      <c r="AO79" s="3"/>
      <c r="AP79" s="3"/>
      <c r="AQ79" s="3"/>
      <c r="AR79" s="3"/>
      <c r="AS79" s="3"/>
      <c r="AU79" s="3"/>
      <c r="AV79" s="3"/>
      <c r="AW79" s="3"/>
      <c r="AX79" s="3"/>
      <c r="AY79" s="3"/>
      <c r="BB79" s="3"/>
      <c r="BC79" s="3"/>
      <c r="BE79" s="3"/>
    </row>
    <row r="80" spans="11:71" ht="17" thickBot="1" x14ac:dyDescent="0.25">
      <c r="K80" s="3"/>
      <c r="L80" s="3"/>
      <c r="M80" s="3"/>
      <c r="N80" s="3" t="s">
        <v>130</v>
      </c>
      <c r="O80" s="3" t="str">
        <f>IF(V108&gt;V44,Q108,Q44)</f>
        <v>ANG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79" t="s">
        <v>40</v>
      </c>
      <c r="AG80" s="3" t="s">
        <v>117</v>
      </c>
      <c r="AH80" s="106">
        <f>AJ79*AN78+AJ86*AP85</f>
        <v>5.5353460401190837</v>
      </c>
      <c r="AI80" s="3"/>
      <c r="AJ80" s="3"/>
      <c r="AM80" s="3" t="s">
        <v>118</v>
      </c>
      <c r="AN80" s="105">
        <f>AP77*AS76+AP81*AS80</f>
        <v>0</v>
      </c>
      <c r="AO80" s="3"/>
      <c r="AP80" s="79" t="s">
        <v>29</v>
      </c>
      <c r="AQ80" s="3"/>
      <c r="AR80" s="3" t="s">
        <v>107</v>
      </c>
      <c r="AS80" s="82">
        <v>0</v>
      </c>
      <c r="AU80" t="s">
        <v>74</v>
      </c>
      <c r="AV80" s="83">
        <f>'Costs &amp; QALY'!J54</f>
        <v>1.3297859926719411</v>
      </c>
      <c r="BB80" s="3"/>
      <c r="BC80" s="3"/>
      <c r="BE80" s="3"/>
    </row>
    <row r="81" spans="11:57" ht="17" thickBot="1" x14ac:dyDescent="0.25">
      <c r="K81" s="3"/>
      <c r="L81" s="3"/>
      <c r="M81" s="3"/>
      <c r="N81" s="3" t="s">
        <v>148</v>
      </c>
      <c r="O81" s="3">
        <f>(O77*base_threshold)-O79</f>
        <v>164966.70470248934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8">
        <v>1</v>
      </c>
      <c r="AE81" s="3"/>
      <c r="AF81" s="3"/>
      <c r="AG81" s="3"/>
      <c r="AH81" s="104"/>
      <c r="AI81" s="3"/>
      <c r="AJ81" s="3"/>
      <c r="AO81" s="3"/>
      <c r="AP81" s="36">
        <f>p_MVDgivenS</f>
        <v>0.9</v>
      </c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E81" s="3"/>
    </row>
    <row r="82" spans="11:57" x14ac:dyDescent="0.2">
      <c r="AB82" s="3"/>
      <c r="AC82" s="3"/>
      <c r="AD82" s="3"/>
      <c r="AE82" s="3"/>
      <c r="AF82" s="3"/>
      <c r="AG82" s="3" t="s">
        <v>118</v>
      </c>
      <c r="AH82" s="104">
        <f>AJ79*AN80+AJ86*AM85</f>
        <v>0</v>
      </c>
      <c r="AI82" s="3"/>
      <c r="AK82" s="3"/>
    </row>
    <row r="83" spans="11:57" x14ac:dyDescent="0.2">
      <c r="AB83" s="3"/>
      <c r="AC83" s="3"/>
      <c r="AD83" s="3"/>
      <c r="AE83" s="3"/>
      <c r="AF83" s="3"/>
      <c r="AG83" s="3"/>
      <c r="AH83" s="3"/>
    </row>
    <row r="84" spans="11:57" x14ac:dyDescent="0.2"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1:57" ht="17" thickBot="1" x14ac:dyDescent="0.25">
      <c r="AJ85" s="79" t="s">
        <v>42</v>
      </c>
      <c r="AK85" s="3"/>
      <c r="AL85" s="3" t="s">
        <v>107</v>
      </c>
      <c r="AM85" s="82">
        <v>0</v>
      </c>
      <c r="AO85" t="s">
        <v>74</v>
      </c>
      <c r="AP85" s="83">
        <f>'Costs &amp; QALY'!O63</f>
        <v>11.401126892242047</v>
      </c>
      <c r="AV85" s="3"/>
      <c r="AW85" s="3"/>
      <c r="AY85" s="3"/>
      <c r="AZ85" s="3"/>
    </row>
    <row r="86" spans="11:57" ht="17" thickBot="1" x14ac:dyDescent="0.25">
      <c r="AI86" s="3"/>
      <c r="AJ86" s="36">
        <f>p_HealthyGivenNegative</f>
        <v>0.39999999999999986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91" spans="11:57" ht="17" thickBot="1" x14ac:dyDescent="0.25"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O91" s="3"/>
      <c r="AP91" s="79" t="s">
        <v>32</v>
      </c>
      <c r="AQ91" s="3"/>
      <c r="AR91" s="3" t="s">
        <v>107</v>
      </c>
      <c r="AS91" s="82">
        <f>'Costs &amp; QALY'!C111</f>
        <v>1779.753539031683</v>
      </c>
      <c r="AT91" s="3"/>
      <c r="AU91" t="s">
        <v>74</v>
      </c>
      <c r="AV91" s="83">
        <f>'Costs &amp; QALY'!D44</f>
        <v>7.6053225271947431</v>
      </c>
      <c r="BB91" s="3"/>
      <c r="BC91" s="3"/>
      <c r="BD91" s="3"/>
    </row>
    <row r="92" spans="11:57" ht="17" thickBot="1" x14ac:dyDescent="0.25"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O92" s="3"/>
      <c r="AP92" s="36">
        <v>1</v>
      </c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</row>
    <row r="93" spans="11:57" x14ac:dyDescent="0.2"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</row>
    <row r="94" spans="11:57" x14ac:dyDescent="0.2"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O94" s="9"/>
      <c r="AP94" s="9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</row>
    <row r="95" spans="11:57" ht="17" thickBot="1" x14ac:dyDescent="0.25"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T95" s="3"/>
      <c r="AU95" s="3"/>
      <c r="AV95" s="3"/>
      <c r="AW95" s="3"/>
      <c r="AX95" s="3"/>
      <c r="AY95" s="79" t="s">
        <v>23</v>
      </c>
      <c r="AZ95" s="79"/>
      <c r="BA95" s="3" t="s">
        <v>107</v>
      </c>
      <c r="BB95" s="82">
        <f>'Costs &amp; QALY'!C83</f>
        <v>889.87676951584149</v>
      </c>
      <c r="BD95" t="s">
        <v>74</v>
      </c>
      <c r="BE95" s="83">
        <f>'Costs &amp; QALY'!D29</f>
        <v>8.1631160430422991</v>
      </c>
    </row>
    <row r="96" spans="11:57" ht="17" thickBot="1" x14ac:dyDescent="0.25"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T96" s="3"/>
      <c r="AU96" s="3"/>
      <c r="AV96" s="3"/>
      <c r="AW96" s="3"/>
      <c r="AX96" s="3"/>
      <c r="AY96" s="36">
        <f>p_successSVDCABG</f>
        <v>0.85</v>
      </c>
      <c r="AZ96" s="3"/>
      <c r="BC96" s="3"/>
      <c r="BD96" s="3"/>
      <c r="BE96" s="3"/>
    </row>
    <row r="97" spans="3:59" ht="17" thickBot="1" x14ac:dyDescent="0.25"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9"/>
      <c r="AE97" s="9"/>
      <c r="AF97" s="9"/>
      <c r="AG97" s="9"/>
      <c r="AH97" s="9"/>
      <c r="AI97" s="9"/>
      <c r="AJ97" s="9" t="s">
        <v>34</v>
      </c>
      <c r="AM97" s="3" t="s">
        <v>117</v>
      </c>
      <c r="AN97" s="105">
        <f>IF(AS99&gt;AV91,AS99,AV91)</f>
        <v>7.8370636051952101</v>
      </c>
      <c r="AT97" s="9"/>
      <c r="AU97" s="9" t="s">
        <v>34</v>
      </c>
      <c r="AV97" s="9" t="s">
        <v>117</v>
      </c>
      <c r="AW97" s="102">
        <f>AY96*BE95+AY100*BE99</f>
        <v>8.0794470156651652</v>
      </c>
      <c r="AX97" s="9"/>
      <c r="AY97" s="3"/>
      <c r="AZ97" s="3"/>
      <c r="BC97" s="3"/>
      <c r="BD97" s="3"/>
      <c r="BE97" s="3"/>
    </row>
    <row r="98" spans="3:59" ht="17" thickBot="1" x14ac:dyDescent="0.25"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9"/>
      <c r="AE98" s="3" t="s">
        <v>129</v>
      </c>
      <c r="AF98" s="3"/>
      <c r="AG98" s="3"/>
      <c r="AH98" s="9"/>
      <c r="AI98" s="9"/>
      <c r="AJ98" s="12">
        <f>p_AliveGivenSVDANG</f>
        <v>0.99970000000000003</v>
      </c>
      <c r="AM98" s="3"/>
      <c r="AN98" s="105"/>
      <c r="AO98" s="9"/>
      <c r="AP98" s="9"/>
      <c r="AQ98" t="s">
        <v>128</v>
      </c>
      <c r="AT98" s="9"/>
      <c r="AU98" s="12">
        <f>p_AliveGivenSVDCABG</f>
        <v>0.97</v>
      </c>
      <c r="AV98" s="9"/>
      <c r="AW98" s="102"/>
      <c r="AX98" s="9"/>
      <c r="AY98" s="3"/>
      <c r="AZ98" s="3"/>
      <c r="BC98" s="3"/>
      <c r="BD98" s="3"/>
      <c r="BE98" s="3"/>
    </row>
    <row r="99" spans="3:59" ht="17" thickBot="1" x14ac:dyDescent="0.25"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9" t="s">
        <v>21</v>
      </c>
      <c r="AE99">
        <f>cost_ANG</f>
        <v>668</v>
      </c>
      <c r="AG99" s="3" t="s">
        <v>117</v>
      </c>
      <c r="AH99" s="102">
        <f>AJ98*AN97+AJ105*AQ105</f>
        <v>7.8347124861136521</v>
      </c>
      <c r="AI99" s="9"/>
      <c r="AJ99" s="9"/>
      <c r="AM99" s="3" t="s">
        <v>118</v>
      </c>
      <c r="AN99" s="105">
        <f>IF(AQ101&gt;AS91,AQ101,AS91)</f>
        <v>4519.6575363949214</v>
      </c>
      <c r="AO99" s="9"/>
      <c r="AP99" s="9" t="s">
        <v>27</v>
      </c>
      <c r="AQ99">
        <f>cost_CABG</f>
        <v>3527</v>
      </c>
      <c r="AR99" s="3" t="s">
        <v>117</v>
      </c>
      <c r="AS99" s="105">
        <f>AU98*AW97+AU102*BA102</f>
        <v>7.8370636051952101</v>
      </c>
      <c r="AT99" s="9"/>
      <c r="AU99" s="9"/>
      <c r="AV99" s="9" t="s">
        <v>118</v>
      </c>
      <c r="AW99" s="102">
        <f>AY96*BB95+AY100*BB99</f>
        <v>1023.3582849432178</v>
      </c>
      <c r="AX99" s="9"/>
      <c r="AY99" s="79" t="s">
        <v>24</v>
      </c>
      <c r="AZ99" s="79"/>
      <c r="BA99" s="3" t="s">
        <v>107</v>
      </c>
      <c r="BB99" s="82">
        <f>'Costs &amp; QALY'!C97</f>
        <v>1779.753539031683</v>
      </c>
      <c r="BD99" t="s">
        <v>74</v>
      </c>
      <c r="BE99" s="83">
        <f>'Costs &amp; QALY'!D44</f>
        <v>7.6053225271947431</v>
      </c>
    </row>
    <row r="100" spans="3:59" ht="17" thickBot="1" x14ac:dyDescent="0.25"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12">
        <f>p_sVDgivenS</f>
        <v>0.1</v>
      </c>
      <c r="AE100" s="9"/>
      <c r="AF100" s="9"/>
      <c r="AG100" s="3"/>
      <c r="AH100" s="102"/>
      <c r="AI100" s="9"/>
      <c r="AJ100" s="9"/>
      <c r="AM100" s="3" t="s">
        <v>130</v>
      </c>
      <c r="AN100" s="3" t="str">
        <f>IF(AS99&gt;AV91,AP99,AP91)</f>
        <v>CABG</v>
      </c>
      <c r="AO100" s="9"/>
      <c r="AP100" s="12">
        <v>1</v>
      </c>
      <c r="AR100" s="3"/>
      <c r="AS100" s="105"/>
      <c r="AT100" s="9"/>
      <c r="AU100" s="9"/>
      <c r="AV100" s="9"/>
      <c r="AW100" s="9"/>
      <c r="AX100" s="9"/>
      <c r="AY100" s="36">
        <f>p_CABGfailSVD</f>
        <v>0.15000000000000002</v>
      </c>
      <c r="AZ100" s="3"/>
      <c r="BA100" s="3"/>
      <c r="BB100" s="3"/>
      <c r="BC100" s="3"/>
      <c r="BF100" s="3"/>
      <c r="BG100" s="3"/>
    </row>
    <row r="101" spans="3:59" ht="17" thickBot="1" x14ac:dyDescent="0.25"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 t="s">
        <v>124</v>
      </c>
      <c r="AE101" s="3">
        <f>AH101+AE99</f>
        <v>5186.3016391340034</v>
      </c>
      <c r="AF101" s="3"/>
      <c r="AG101" s="3" t="s">
        <v>118</v>
      </c>
      <c r="AH101" s="105">
        <f>AJ98*AN99+AJ105*AN105</f>
        <v>4518.3016391340034</v>
      </c>
      <c r="AM101" s="3" t="s">
        <v>148</v>
      </c>
      <c r="AN101">
        <f>(AN97*base_threshold)-AN99</f>
        <v>230592.25061946138</v>
      </c>
      <c r="AO101" s="9"/>
      <c r="AP101" s="9" t="s">
        <v>123</v>
      </c>
      <c r="AQ101">
        <f>AS101+AQ99</f>
        <v>4519.6575363949214</v>
      </c>
      <c r="AR101" s="3" t="s">
        <v>118</v>
      </c>
      <c r="AS101" s="105">
        <f>AU98*AW99+AU102*AX102</f>
        <v>992.65753639492118</v>
      </c>
      <c r="AT101" s="9"/>
      <c r="AU101" s="9" t="s">
        <v>35</v>
      </c>
      <c r="AV101" s="9"/>
      <c r="AW101" s="9"/>
      <c r="AX101" s="3"/>
      <c r="BA101" s="3"/>
      <c r="BB101" s="3"/>
      <c r="BG101" s="3"/>
    </row>
    <row r="102" spans="3:59" ht="17" thickBot="1" x14ac:dyDescent="0.25"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9"/>
      <c r="AE102" s="9"/>
      <c r="AF102" s="9"/>
      <c r="AG102" s="9"/>
      <c r="AO102" s="9"/>
      <c r="AP102" s="9"/>
      <c r="AR102" s="3"/>
      <c r="AT102" s="9"/>
      <c r="AU102" s="10">
        <f>Inputs!C46</f>
        <v>0.03</v>
      </c>
      <c r="AV102" s="9"/>
      <c r="AW102" s="3" t="s">
        <v>107</v>
      </c>
      <c r="AX102" s="82">
        <v>0</v>
      </c>
      <c r="AZ102" t="s">
        <v>74</v>
      </c>
      <c r="BA102" s="83">
        <v>0</v>
      </c>
      <c r="BB102" s="3"/>
      <c r="BG102" s="3"/>
    </row>
    <row r="104" spans="3:59" ht="17" thickBot="1" x14ac:dyDescent="0.25">
      <c r="AH104" s="3"/>
      <c r="AI104" s="9"/>
      <c r="AJ104" s="9" t="s">
        <v>35</v>
      </c>
    </row>
    <row r="105" spans="3:59" ht="17" thickBot="1" x14ac:dyDescent="0.25">
      <c r="AH105" s="9"/>
      <c r="AI105" s="9"/>
      <c r="AJ105" s="10">
        <f>p_DeathGivenSVDANG</f>
        <v>2.9999999999999997E-4</v>
      </c>
      <c r="AM105" s="3" t="s">
        <v>107</v>
      </c>
      <c r="AN105" s="82">
        <v>0</v>
      </c>
      <c r="AP105" t="s">
        <v>74</v>
      </c>
      <c r="AQ105" s="83">
        <v>0</v>
      </c>
    </row>
    <row r="108" spans="3:59" ht="17" thickBot="1" x14ac:dyDescent="0.25">
      <c r="K108" s="3"/>
      <c r="L108" s="3"/>
      <c r="M108" s="3"/>
      <c r="N108" s="3"/>
      <c r="O108" s="3"/>
      <c r="P108" s="3"/>
      <c r="Q108" s="79" t="s">
        <v>26</v>
      </c>
      <c r="R108" s="79"/>
      <c r="S108" s="79"/>
      <c r="T108" s="79"/>
      <c r="U108" s="3" t="s">
        <v>117</v>
      </c>
      <c r="V108" s="106">
        <f>X109*AB108+X134*AB133</f>
        <v>5.6607099482111396</v>
      </c>
      <c r="W108" s="3"/>
      <c r="X108" s="79" t="s">
        <v>7</v>
      </c>
      <c r="Y108" s="79"/>
      <c r="Z108" s="79"/>
      <c r="AA108" s="3" t="s">
        <v>117</v>
      </c>
      <c r="AB108" s="106">
        <f>AD100*AH99+AD113*AH112</f>
        <v>5.0231392016941996</v>
      </c>
      <c r="AC108" s="3"/>
      <c r="AD108" s="9"/>
      <c r="AE108" s="9"/>
      <c r="AF108" s="9"/>
      <c r="AG108" s="9"/>
      <c r="AH108" s="9"/>
      <c r="AI108" s="3"/>
      <c r="AJ108" s="3"/>
      <c r="AO108" s="3"/>
      <c r="AP108" s="79" t="s">
        <v>32</v>
      </c>
    </row>
    <row r="109" spans="3:59" ht="17" thickBot="1" x14ac:dyDescent="0.25">
      <c r="K109" s="3"/>
      <c r="L109" s="3"/>
      <c r="M109" s="3"/>
      <c r="N109" s="3"/>
      <c r="O109" s="3"/>
      <c r="P109" s="3"/>
      <c r="Q109" s="38">
        <v>1</v>
      </c>
      <c r="R109" s="3"/>
      <c r="S109" s="3"/>
      <c r="T109" s="3"/>
      <c r="U109" s="3"/>
      <c r="V109" s="104"/>
      <c r="W109" s="3"/>
      <c r="X109" s="38">
        <f>p_TestPositiveANG</f>
        <v>0.9</v>
      </c>
      <c r="Y109" s="3"/>
      <c r="Z109" s="3"/>
      <c r="AA109" s="3"/>
      <c r="AB109" s="104"/>
      <c r="AC109" s="3"/>
      <c r="AD109" s="9"/>
      <c r="AE109" s="9"/>
      <c r="AF109" s="9"/>
      <c r="AG109" s="9"/>
      <c r="AH109" s="9"/>
      <c r="AI109" s="3"/>
      <c r="AJ109" s="3"/>
      <c r="AO109" s="3"/>
      <c r="AP109" s="36">
        <v>1</v>
      </c>
      <c r="AR109" s="3" t="s">
        <v>107</v>
      </c>
      <c r="AS109" s="82">
        <f>'Costs &amp; QALY'!G111</f>
        <v>966.22120835074031</v>
      </c>
      <c r="AT109" s="3"/>
      <c r="AU109" t="s">
        <v>74</v>
      </c>
      <c r="AV109" s="83">
        <f>'Costs &amp; QALY'!J39</f>
        <v>4.0132737107728245</v>
      </c>
    </row>
    <row r="110" spans="3:59" ht="17" thickBot="1" x14ac:dyDescent="0.25"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 t="s">
        <v>118</v>
      </c>
      <c r="V110" s="104">
        <f>X109*AB110+X134*AB135</f>
        <v>4854.5937438448609</v>
      </c>
      <c r="W110" s="3"/>
      <c r="X110" s="3"/>
      <c r="Y110" s="3"/>
      <c r="Z110" s="3"/>
      <c r="AA110" s="3" t="s">
        <v>118</v>
      </c>
      <c r="AB110" s="104">
        <f>AD100*AE101+AD113*AE114</f>
        <v>5045.9820057553407</v>
      </c>
      <c r="AC110" s="3"/>
      <c r="AD110" s="3"/>
      <c r="AE110" s="3"/>
      <c r="AF110" s="3"/>
      <c r="AG110" s="3"/>
      <c r="AH110" s="3"/>
      <c r="AI110" s="9"/>
      <c r="AJ110" s="9" t="s">
        <v>34</v>
      </c>
      <c r="AM110" s="3" t="s">
        <v>117</v>
      </c>
      <c r="AN110" s="105">
        <f>IF(AV109&gt;AS116,AV109,AS116)</f>
        <v>4.7154576277197586</v>
      </c>
      <c r="AO110" s="9"/>
      <c r="AP110" s="9"/>
    </row>
    <row r="111" spans="3:59" ht="17" thickBot="1" x14ac:dyDescent="0.25"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 t="s">
        <v>129</v>
      </c>
      <c r="AF111" s="3"/>
      <c r="AG111" s="3"/>
      <c r="AH111" s="3"/>
      <c r="AI111" s="9"/>
      <c r="AJ111" s="12">
        <f>p_AliveGivenMVDANG</f>
        <v>0.999</v>
      </c>
      <c r="AM111" s="3"/>
      <c r="AN111" s="105"/>
      <c r="AO111" s="9"/>
      <c r="AP111" s="9"/>
    </row>
    <row r="112" spans="3:59" ht="17" thickBot="1" x14ac:dyDescent="0.25">
      <c r="C112" s="112" t="s">
        <v>135</v>
      </c>
      <c r="D112" s="113"/>
      <c r="E112" s="118" t="str">
        <f>IF(O77&gt;O151,K77,K151)</f>
        <v>Test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79" t="s">
        <v>22</v>
      </c>
      <c r="AE112">
        <f>cost_ANG</f>
        <v>668</v>
      </c>
      <c r="AG112" t="s">
        <v>117</v>
      </c>
      <c r="AH112" s="106">
        <f>AJ111*AN110+AJ124*AP124</f>
        <v>4.7107421700920389</v>
      </c>
      <c r="AI112" s="9"/>
      <c r="AJ112" s="9"/>
      <c r="AM112" s="3" t="s">
        <v>118</v>
      </c>
      <c r="AN112" s="105">
        <f>IF(AQ118&gt;AS109,AQ118,AS109)</f>
        <v>4366.7576930730065</v>
      </c>
      <c r="AT112" s="3"/>
      <c r="AU112" s="3"/>
      <c r="AV112" s="3"/>
      <c r="AW112" s="3"/>
      <c r="AX112" s="3"/>
      <c r="AY112" s="79" t="s">
        <v>23</v>
      </c>
      <c r="AZ112" s="79"/>
      <c r="BA112" s="3"/>
      <c r="BB112" s="3"/>
      <c r="BC112" s="3"/>
      <c r="BD112" s="3"/>
      <c r="BE112" s="3"/>
    </row>
    <row r="113" spans="3:59" ht="17" thickBot="1" x14ac:dyDescent="0.25">
      <c r="C113" s="114" t="s">
        <v>132</v>
      </c>
      <c r="D113" s="115"/>
      <c r="E113" s="32">
        <f>IF(O77&gt;O151,O77,O151)</f>
        <v>5.6607099482111396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8">
        <f>p_MVDgivenS</f>
        <v>0.9</v>
      </c>
      <c r="AE113" s="3"/>
      <c r="AF113" s="3"/>
      <c r="AG113" s="3"/>
      <c r="AH113" s="104"/>
      <c r="AI113" s="9"/>
      <c r="AJ113" s="9"/>
      <c r="AM113" s="3" t="s">
        <v>130</v>
      </c>
      <c r="AN113" s="3" t="str">
        <f>IF(AS116&gt;AV109,AP116,AP108)</f>
        <v>CABG</v>
      </c>
      <c r="AT113" s="3"/>
      <c r="AU113" s="3"/>
      <c r="AV113" s="3"/>
      <c r="AW113" s="3"/>
      <c r="AX113" s="3"/>
      <c r="AY113" s="36">
        <f>p_CABGsucessMVD</f>
        <v>0.7</v>
      </c>
      <c r="AZ113" s="3"/>
      <c r="BA113" s="3" t="s">
        <v>107</v>
      </c>
      <c r="BB113" s="82">
        <f>'Costs &amp; QALY'!G83</f>
        <v>889.87676951584149</v>
      </c>
      <c r="BD113" t="s">
        <v>74</v>
      </c>
      <c r="BE113" s="83">
        <f>'Costs &amp; QALY'!J29</f>
        <v>5.602164726003819</v>
      </c>
    </row>
    <row r="114" spans="3:59" ht="17" thickBot="1" x14ac:dyDescent="0.25">
      <c r="C114" s="114" t="s">
        <v>133</v>
      </c>
      <c r="D114" s="115"/>
      <c r="E114" s="32">
        <f>IF(O79&gt;O153,O79,O153)</f>
        <v>4854.5937438448609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 t="s">
        <v>124</v>
      </c>
      <c r="AE114" s="3">
        <f>AH114+AE112</f>
        <v>5030.3909353799336</v>
      </c>
      <c r="AF114" s="3"/>
      <c r="AG114" s="3" t="s">
        <v>118</v>
      </c>
      <c r="AH114" s="104">
        <f>AJ111*AN112+AJ124*AM124</f>
        <v>4362.3909353799336</v>
      </c>
      <c r="AM114" s="3" t="s">
        <v>148</v>
      </c>
      <c r="AN114">
        <f>(AN110*base_threshold)-AN112</f>
        <v>137096.97113851976</v>
      </c>
      <c r="AO114" s="9"/>
      <c r="AP114" s="9"/>
      <c r="AT114" s="9"/>
      <c r="AU114" s="9" t="s">
        <v>34</v>
      </c>
      <c r="AV114" s="9" t="s">
        <v>117</v>
      </c>
      <c r="AW114" s="102">
        <f>AY113*BE113+AY117*BE117</f>
        <v>5.1254974214345204</v>
      </c>
      <c r="AX114" s="9"/>
      <c r="AY114" s="3"/>
      <c r="AZ114" s="3"/>
      <c r="BA114" s="3"/>
      <c r="BB114" s="3"/>
      <c r="BC114" s="3"/>
      <c r="BF114" s="3"/>
      <c r="BG114" s="3"/>
    </row>
    <row r="115" spans="3:59" ht="17" thickBot="1" x14ac:dyDescent="0.25">
      <c r="C115" s="116" t="s">
        <v>134</v>
      </c>
      <c r="D115" s="117"/>
      <c r="E115" s="34">
        <f>O77-O151</f>
        <v>0.58536652581341997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O115" s="3"/>
      <c r="AP115" s="9"/>
      <c r="AQ115" t="s">
        <v>128</v>
      </c>
      <c r="AR115" s="3"/>
      <c r="AT115" s="9"/>
      <c r="AU115" s="12">
        <f>p_AliveGiivenMVDCABG</f>
        <v>0.92</v>
      </c>
      <c r="AV115" s="9"/>
      <c r="AW115" s="102"/>
      <c r="AX115" s="9"/>
      <c r="AY115" s="3"/>
      <c r="AZ115" s="3"/>
      <c r="BA115" s="3"/>
      <c r="BB115" s="3"/>
      <c r="BC115" s="3"/>
      <c r="BF115" s="3"/>
      <c r="BG115" s="3"/>
    </row>
    <row r="116" spans="3:59" ht="17" thickBot="1" x14ac:dyDescent="0.25">
      <c r="C116" s="130" t="s">
        <v>148</v>
      </c>
      <c r="E116">
        <f>(E113*base_threshold)-E114</f>
        <v>164966.70470248934</v>
      </c>
      <c r="K116" s="3"/>
      <c r="L116" s="3"/>
      <c r="M116" s="3"/>
      <c r="N116" s="3"/>
      <c r="O116" s="3"/>
      <c r="P116" s="3"/>
      <c r="Q116" s="79"/>
      <c r="R116" s="79"/>
      <c r="S116" s="79"/>
      <c r="T116" s="79"/>
      <c r="U116" s="79"/>
      <c r="V116" s="79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O116" s="9"/>
      <c r="AP116" s="9" t="s">
        <v>27</v>
      </c>
      <c r="AQ116">
        <f>cost_CABG</f>
        <v>3527</v>
      </c>
      <c r="AR116" s="3" t="s">
        <v>117</v>
      </c>
      <c r="AS116" s="105">
        <f>AU115*AW114+AU119*BA119</f>
        <v>4.7154576277197586</v>
      </c>
      <c r="AT116" s="9"/>
      <c r="AU116" s="9"/>
      <c r="AV116" s="9" t="s">
        <v>118</v>
      </c>
      <c r="AW116" s="102">
        <f>AY113*BB113+AY117*BB117</f>
        <v>912.78010116631117</v>
      </c>
      <c r="AX116" s="9"/>
      <c r="AY116" s="79" t="s">
        <v>24</v>
      </c>
      <c r="AZ116" s="79"/>
      <c r="BA116" s="79"/>
      <c r="BB116" s="79"/>
      <c r="BC116" s="3"/>
    </row>
    <row r="117" spans="3:59" ht="17" thickBot="1" x14ac:dyDescent="0.25">
      <c r="AO117" s="9"/>
      <c r="AP117" s="12">
        <v>1</v>
      </c>
      <c r="AR117" s="3"/>
      <c r="AS117" s="105"/>
      <c r="AT117" s="9"/>
      <c r="AU117" s="9"/>
      <c r="AV117" s="9"/>
      <c r="AW117" s="9"/>
      <c r="AX117" s="9"/>
      <c r="AY117" s="36">
        <f>p_CABGfailMVD</f>
        <v>0.30000000000000004</v>
      </c>
      <c r="AZ117" s="3"/>
      <c r="BA117" s="3" t="s">
        <v>107</v>
      </c>
      <c r="BB117" s="82">
        <f>'Costs &amp; QALY'!G97</f>
        <v>966.22120835074031</v>
      </c>
      <c r="BD117" t="s">
        <v>74</v>
      </c>
      <c r="BE117" s="83">
        <f>'Costs &amp; QALY'!J39</f>
        <v>4.0132737107728245</v>
      </c>
    </row>
    <row r="118" spans="3:59" ht="17" thickBot="1" x14ac:dyDescent="0.25">
      <c r="AP118" s="9" t="s">
        <v>123</v>
      </c>
      <c r="AQ118">
        <f>AQ116+AS118</f>
        <v>4366.7576930730065</v>
      </c>
      <c r="AR118" s="3" t="s">
        <v>118</v>
      </c>
      <c r="AS118" s="105">
        <f>AU115*AW116+AU119*AX119</f>
        <v>839.75769307300629</v>
      </c>
      <c r="AT118" s="9"/>
      <c r="AU118" s="9" t="s">
        <v>35</v>
      </c>
      <c r="AV118" s="9"/>
      <c r="AW118" s="9"/>
      <c r="AX118" s="9"/>
      <c r="AY118" s="3"/>
      <c r="AZ118" s="3"/>
      <c r="BA118" s="3"/>
      <c r="BB118" s="3"/>
      <c r="BC118" s="3"/>
      <c r="BF118" s="3"/>
      <c r="BG118" s="3"/>
    </row>
    <row r="119" spans="3:59" ht="17" thickBot="1" x14ac:dyDescent="0.25">
      <c r="AT119" s="9"/>
      <c r="AU119" s="10">
        <f>p_DeathGivenMVDCABG</f>
        <v>0.08</v>
      </c>
      <c r="AV119" s="9"/>
      <c r="AW119" s="3" t="s">
        <v>107</v>
      </c>
      <c r="AX119" s="82">
        <v>0</v>
      </c>
      <c r="AZ119" t="s">
        <v>74</v>
      </c>
      <c r="BA119" s="83">
        <v>0</v>
      </c>
      <c r="BB119" s="3"/>
      <c r="BG119" s="3"/>
    </row>
    <row r="120" spans="3:59" x14ac:dyDescent="0.2"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F120" s="3"/>
      <c r="BG120" s="3"/>
    </row>
    <row r="123" spans="3:59" ht="17" thickBot="1" x14ac:dyDescent="0.25">
      <c r="AI123" s="9"/>
      <c r="AJ123" s="9" t="s">
        <v>35</v>
      </c>
      <c r="AL123" s="3"/>
      <c r="AM123" s="3"/>
      <c r="AP123" s="3"/>
      <c r="AS123" s="3"/>
      <c r="AT123" s="3"/>
      <c r="AU123" s="3"/>
    </row>
    <row r="124" spans="3:59" ht="17" thickBot="1" x14ac:dyDescent="0.25">
      <c r="AI124" s="3"/>
      <c r="AJ124" s="40">
        <f>p_DeathGivenMVDANG</f>
        <v>1E-3</v>
      </c>
      <c r="AL124" s="3" t="s">
        <v>107</v>
      </c>
      <c r="AM124" s="82">
        <v>0</v>
      </c>
      <c r="AO124" t="s">
        <v>74</v>
      </c>
      <c r="AP124" s="83">
        <v>0</v>
      </c>
    </row>
    <row r="125" spans="3:59" x14ac:dyDescent="0.2">
      <c r="AI125" s="3"/>
      <c r="AJ125" s="3"/>
    </row>
    <row r="129" spans="11:72" ht="17" thickBot="1" x14ac:dyDescent="0.25"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79" t="s">
        <v>32</v>
      </c>
      <c r="AK129" s="3"/>
      <c r="AL129" s="3" t="s">
        <v>107</v>
      </c>
      <c r="AM129" s="82">
        <f>'Costs &amp; QALY'!C130</f>
        <v>2464.7259318369124</v>
      </c>
      <c r="AO129" t="s">
        <v>74</v>
      </c>
      <c r="AP129" s="83">
        <f>'Costs &amp; QALY'!O63</f>
        <v>11.401126892242047</v>
      </c>
      <c r="AV129" s="3"/>
      <c r="AY129" s="3"/>
      <c r="AZ129" s="3"/>
      <c r="BA129" s="3"/>
    </row>
    <row r="130" spans="11:72" ht="17" thickBot="1" x14ac:dyDescent="0.25"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 t="s">
        <v>129</v>
      </c>
      <c r="AF130" s="3"/>
      <c r="AG130" s="3"/>
      <c r="AH130" s="3"/>
      <c r="AI130" s="3"/>
      <c r="AJ130" s="36">
        <v>1</v>
      </c>
      <c r="AK130" s="3"/>
      <c r="AL130" s="3"/>
      <c r="AM130" s="3"/>
      <c r="AN130" s="3"/>
      <c r="AO130" s="3"/>
      <c r="AP130" s="3"/>
      <c r="AS130" s="3"/>
      <c r="AT130" s="3"/>
      <c r="AU130" s="3"/>
      <c r="AV130" s="3"/>
      <c r="AY130" s="3"/>
      <c r="AZ130" s="3"/>
      <c r="BA130" s="3"/>
    </row>
    <row r="131" spans="11:72" ht="17" thickBot="1" x14ac:dyDescent="0.25"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9"/>
      <c r="AD131" s="9" t="s">
        <v>34</v>
      </c>
      <c r="AE131">
        <f>cost_ANG</f>
        <v>668</v>
      </c>
      <c r="AG131" s="3" t="s">
        <v>117</v>
      </c>
      <c r="AH131" s="105">
        <f>IF(AP133&gt;AP129,AP133,AP129)</f>
        <v>11.401126892242047</v>
      </c>
      <c r="AI131" s="9"/>
      <c r="AJ131" s="3"/>
      <c r="AK131" s="3"/>
      <c r="AL131" s="3"/>
      <c r="AM131" s="3"/>
      <c r="AN131" s="3"/>
      <c r="AO131" s="3"/>
      <c r="AP131" s="3"/>
      <c r="AS131" s="3"/>
      <c r="AT131" s="3"/>
      <c r="AU131" s="3"/>
      <c r="AV131" s="3"/>
      <c r="AY131" s="3"/>
      <c r="AZ131" s="3"/>
      <c r="BA131" s="3"/>
    </row>
    <row r="132" spans="11:72" ht="17" thickBot="1" x14ac:dyDescent="0.25"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9"/>
      <c r="AD132" s="12">
        <f>Inputs!B54</f>
        <v>0.99980000000000002</v>
      </c>
      <c r="AE132" s="9"/>
      <c r="AF132" s="9"/>
      <c r="AG132" s="3"/>
      <c r="AH132" s="102"/>
      <c r="AI132" s="9"/>
      <c r="AJ132" s="3"/>
      <c r="AK132" s="3"/>
      <c r="AL132" s="3"/>
      <c r="AM132" s="3"/>
      <c r="AN132" s="3"/>
      <c r="AO132" s="3"/>
      <c r="AP132" s="3"/>
      <c r="AS132" s="3"/>
      <c r="AT132" s="3"/>
      <c r="AU132" s="3"/>
      <c r="AV132" s="3"/>
      <c r="AY132" s="3"/>
      <c r="AZ132" s="3"/>
      <c r="BA132" s="3"/>
    </row>
    <row r="133" spans="11:72" ht="17" thickBot="1" x14ac:dyDescent="0.25"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79" t="s">
        <v>6</v>
      </c>
      <c r="Y133" s="79"/>
      <c r="Z133" s="79"/>
      <c r="AA133" s="3" t="s">
        <v>117</v>
      </c>
      <c r="AB133" s="106">
        <f>AD132*AH131+AD136*AJ136</f>
        <v>11.3988466668636</v>
      </c>
      <c r="AC133" s="9"/>
      <c r="AD133" s="3" t="s">
        <v>124</v>
      </c>
      <c r="AE133" s="9">
        <f>AH133+AE131</f>
        <v>3132.7259318369124</v>
      </c>
      <c r="AF133" s="9"/>
      <c r="AG133" s="3" t="s">
        <v>118</v>
      </c>
      <c r="AH133" s="102">
        <f>IF(AM133&gt;AM129,AM133,AM129)</f>
        <v>2464.7259318369124</v>
      </c>
      <c r="AI133" s="9"/>
      <c r="AJ133" s="79" t="s">
        <v>37</v>
      </c>
      <c r="AK133" s="3"/>
      <c r="AL133" s="3" t="s">
        <v>107</v>
      </c>
      <c r="AM133" s="82">
        <v>0</v>
      </c>
      <c r="AO133" t="s">
        <v>74</v>
      </c>
      <c r="AP133" s="83">
        <f>'Costs &amp; QALY'!O63</f>
        <v>11.401126892242047</v>
      </c>
      <c r="AV133" s="3"/>
      <c r="AY133" s="3"/>
      <c r="AZ133" s="3"/>
      <c r="BA133" s="3"/>
    </row>
    <row r="134" spans="11:72" ht="17" thickBot="1" x14ac:dyDescent="0.25"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8">
        <f>p_TestNegativeANG</f>
        <v>9.9999999999999978E-2</v>
      </c>
      <c r="Y134" s="3"/>
      <c r="Z134" s="3"/>
      <c r="AA134" s="3"/>
      <c r="AB134" s="104"/>
      <c r="AC134" s="9"/>
      <c r="AD134" s="9"/>
      <c r="AE134" s="9"/>
      <c r="AF134" s="9"/>
      <c r="AG134" s="9" t="s">
        <v>130</v>
      </c>
      <c r="AH134" s="9" t="str">
        <f>IF(AP129&gt;AP133,AJ129,AJ133)</f>
        <v>No Treat</v>
      </c>
      <c r="AI134" s="9"/>
      <c r="AJ134" s="36">
        <v>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Y134" s="3"/>
      <c r="AZ134" s="3"/>
      <c r="BA134" s="3"/>
    </row>
    <row r="135" spans="11:72" ht="17" thickBot="1" x14ac:dyDescent="0.25">
      <c r="W135" s="3"/>
      <c r="X135" s="3"/>
      <c r="Y135" s="3"/>
      <c r="Z135" s="3"/>
      <c r="AA135" s="3" t="s">
        <v>118</v>
      </c>
      <c r="AB135" s="104">
        <f>AD132*AE133+AD136*AG136</f>
        <v>3132.0993866505451</v>
      </c>
      <c r="AC135" s="9"/>
      <c r="AD135" s="9" t="s">
        <v>35</v>
      </c>
      <c r="AE135" s="9"/>
      <c r="AF135" s="9"/>
      <c r="AG135" s="9" t="s">
        <v>148</v>
      </c>
      <c r="AH135" s="9">
        <f>(AH131*base_threshold)-AH133</f>
        <v>339569.08083542448</v>
      </c>
      <c r="AI135" s="9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Y135" s="3"/>
      <c r="AZ135" s="3"/>
      <c r="BA135" s="3"/>
    </row>
    <row r="136" spans="11:72" ht="17" thickBot="1" x14ac:dyDescent="0.25">
      <c r="W136" s="3"/>
      <c r="X136" s="3"/>
      <c r="Y136" s="3"/>
      <c r="Z136" s="3"/>
      <c r="AA136" s="3"/>
      <c r="AB136" s="3"/>
      <c r="AC136" s="9"/>
      <c r="AD136" s="10">
        <f>Inputs!B48</f>
        <v>2.0000000000000001E-4</v>
      </c>
      <c r="AE136" s="3"/>
      <c r="AF136" s="3" t="s">
        <v>107</v>
      </c>
      <c r="AG136" s="82">
        <v>0</v>
      </c>
      <c r="AI136" t="s">
        <v>74</v>
      </c>
      <c r="AJ136" s="8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Y136" s="3"/>
      <c r="AZ136" s="3"/>
      <c r="BA136" s="3"/>
    </row>
    <row r="137" spans="11:72" x14ac:dyDescent="0.2"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J137" s="3"/>
      <c r="BK137" s="3"/>
      <c r="BL137" s="3"/>
    </row>
    <row r="138" spans="11:72" x14ac:dyDescent="0.2"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E138" s="3"/>
      <c r="BI138" s="3"/>
      <c r="BJ138" s="3"/>
      <c r="BL138" s="3"/>
      <c r="BM138" s="3"/>
      <c r="BN138" s="3"/>
      <c r="BO138" s="3"/>
      <c r="BP138" s="3"/>
    </row>
    <row r="139" spans="11:72" x14ac:dyDescent="0.2"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</row>
    <row r="140" spans="11:72" x14ac:dyDescent="0.2"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</row>
    <row r="141" spans="11:72" ht="17" thickBot="1" x14ac:dyDescent="0.25"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79" t="s">
        <v>30</v>
      </c>
      <c r="AE141" s="3"/>
      <c r="AF141" s="3" t="s">
        <v>107</v>
      </c>
      <c r="AG141" s="82">
        <f>'Costs &amp; QALY'!C111</f>
        <v>1779.753539031683</v>
      </c>
      <c r="AI141" t="s">
        <v>74</v>
      </c>
      <c r="AJ141" s="83">
        <f>'Costs &amp; QALY'!D44</f>
        <v>7.6053225271947431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</row>
    <row r="142" spans="11:72" ht="17" thickBot="1" x14ac:dyDescent="0.25"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6">
        <f>p_sVDgivenS</f>
        <v>0.1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</row>
    <row r="143" spans="11:72" ht="17" thickBot="1" x14ac:dyDescent="0.25"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79" t="s">
        <v>38</v>
      </c>
      <c r="Y143" s="79"/>
      <c r="Z143" s="79"/>
      <c r="AA143" s="3" t="s">
        <v>117</v>
      </c>
      <c r="AB143" s="106">
        <f>AD142*AJ141+AD146*AJ145</f>
        <v>4.3724785924150167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S143" s="3"/>
      <c r="BT143" s="3"/>
    </row>
    <row r="144" spans="11:72" ht="17" thickBot="1" x14ac:dyDescent="0.25"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8">
        <f>p_sick</f>
        <v>0.9</v>
      </c>
      <c r="Y144" s="3"/>
      <c r="Z144" s="3"/>
      <c r="AA144" s="3"/>
      <c r="AB144" s="104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</row>
    <row r="145" spans="11:56" ht="17" thickBot="1" x14ac:dyDescent="0.25">
      <c r="K145" s="3"/>
      <c r="L145" s="3"/>
      <c r="M145" s="3"/>
      <c r="N145" s="3"/>
      <c r="O145" s="3"/>
      <c r="P145" s="3"/>
      <c r="Q145" s="79" t="s">
        <v>32</v>
      </c>
      <c r="R145" s="79"/>
      <c r="S145" s="79"/>
      <c r="T145" s="79"/>
      <c r="U145" s="3" t="s">
        <v>117</v>
      </c>
      <c r="V145" s="106">
        <f>X144*AB143+X148*AD148</f>
        <v>5.0753434223977196</v>
      </c>
      <c r="W145" s="3"/>
      <c r="X145" s="3"/>
      <c r="Y145" s="3"/>
      <c r="Z145" s="3"/>
      <c r="AA145" s="3" t="s">
        <v>118</v>
      </c>
      <c r="AB145" s="104">
        <f>AD142*AG141+AD146*AG145</f>
        <v>1047.5744414188346</v>
      </c>
      <c r="AC145" s="3"/>
      <c r="AD145" s="79" t="s">
        <v>43</v>
      </c>
      <c r="AE145" s="3"/>
      <c r="AF145" s="3" t="s">
        <v>107</v>
      </c>
      <c r="AG145" s="82">
        <f>'Costs &amp; QALY'!G111</f>
        <v>966.22120835074031</v>
      </c>
      <c r="AI145" t="s">
        <v>74</v>
      </c>
      <c r="AJ145" s="83">
        <f>'Costs &amp; QALY'!J39</f>
        <v>4.0132737107728245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</row>
    <row r="146" spans="11:56" ht="17" thickBot="1" x14ac:dyDescent="0.25">
      <c r="K146" s="3"/>
      <c r="L146" s="3"/>
      <c r="M146" s="3"/>
      <c r="N146" s="3"/>
      <c r="O146" s="3"/>
      <c r="P146" s="3"/>
      <c r="Q146" s="38">
        <v>1</v>
      </c>
      <c r="R146" s="3"/>
      <c r="S146" s="3"/>
      <c r="T146" s="3"/>
      <c r="U146" s="3"/>
      <c r="V146" s="104"/>
      <c r="W146" s="3"/>
      <c r="X146" s="3"/>
      <c r="Y146" s="3"/>
      <c r="Z146" s="3"/>
      <c r="AA146" s="3"/>
      <c r="AB146" s="3"/>
      <c r="AC146" s="3"/>
      <c r="AD146" s="36">
        <f>p_MVDgivenS</f>
        <v>0.9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</row>
    <row r="147" spans="11:56" ht="17" thickBot="1" x14ac:dyDescent="0.25"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 t="s">
        <v>118</v>
      </c>
      <c r="V147" s="104">
        <f>X144*AB145+X148*AA148</f>
        <v>1189.2895904606423</v>
      </c>
      <c r="W147" s="3"/>
      <c r="X147" s="79" t="s">
        <v>39</v>
      </c>
      <c r="Y147" s="79"/>
      <c r="Z147" s="79"/>
      <c r="AA147" s="79"/>
      <c r="AB147" s="79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D147" s="3"/>
    </row>
    <row r="148" spans="11:56" ht="17" thickBot="1" x14ac:dyDescent="0.25"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6">
        <f>p_healthy</f>
        <v>9.9999999999999978E-2</v>
      </c>
      <c r="Y148" s="3"/>
      <c r="Z148" s="3" t="s">
        <v>107</v>
      </c>
      <c r="AA148" s="97">
        <f>'Costs &amp; QALY'!C130</f>
        <v>2464.7259318369124</v>
      </c>
      <c r="AC148" t="s">
        <v>74</v>
      </c>
      <c r="AD148" s="98">
        <f>'Costs &amp; QALY'!O63</f>
        <v>11.401126892242047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</row>
    <row r="149" spans="11:56" x14ac:dyDescent="0.2"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</row>
    <row r="150" spans="11:56" x14ac:dyDescent="0.2"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</row>
    <row r="151" spans="11:56" ht="17" thickBot="1" x14ac:dyDescent="0.25">
      <c r="K151" s="79" t="s">
        <v>16</v>
      </c>
      <c r="L151" s="79"/>
      <c r="M151" s="79"/>
      <c r="N151" s="107" t="s">
        <v>117</v>
      </c>
      <c r="O151" s="106">
        <f>IF(V145&gt;V157,V145,V157)</f>
        <v>5.0753434223977196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</row>
    <row r="152" spans="11:56" ht="17" thickBot="1" x14ac:dyDescent="0.25">
      <c r="K152" s="38">
        <v>1</v>
      </c>
      <c r="L152" s="3"/>
      <c r="M152" s="3"/>
      <c r="N152" s="107"/>
      <c r="O152" s="104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</row>
    <row r="153" spans="11:56" ht="17" thickBot="1" x14ac:dyDescent="0.25">
      <c r="K153" s="3"/>
      <c r="L153" s="3"/>
      <c r="M153" s="3"/>
      <c r="N153" s="107" t="s">
        <v>118</v>
      </c>
      <c r="O153" s="104">
        <f>IF(V147&gt;V159,V147,V159)</f>
        <v>1189.2895904606423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79" t="s">
        <v>30</v>
      </c>
      <c r="AE153" s="3"/>
      <c r="AF153" s="3" t="s">
        <v>107</v>
      </c>
      <c r="AG153" s="82">
        <v>0</v>
      </c>
      <c r="AI153" t="s">
        <v>74</v>
      </c>
      <c r="AJ153" s="83">
        <f>'Costs &amp; QALY'!D59</f>
        <v>4.2801807863236245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</row>
    <row r="154" spans="11:56" ht="17" thickBot="1" x14ac:dyDescent="0.25">
      <c r="K154" s="3"/>
      <c r="L154" s="3"/>
      <c r="M154" s="3"/>
      <c r="N154" s="3" t="s">
        <v>131</v>
      </c>
      <c r="O154" s="3" t="str">
        <f>IF(V145&gt;V157,Q145,Q157)</f>
        <v>MM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6">
        <f>p_sVDgivenS</f>
        <v>0.1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</row>
    <row r="155" spans="11:56" ht="17" thickBot="1" x14ac:dyDescent="0.25">
      <c r="K155" s="3"/>
      <c r="L155" s="3"/>
      <c r="M155" s="3"/>
      <c r="N155" s="3" t="s">
        <v>148</v>
      </c>
      <c r="O155" s="3">
        <f>(O151*base_threshold)-O153</f>
        <v>151071.01308147094</v>
      </c>
      <c r="P155" s="3"/>
      <c r="Q155" s="3"/>
      <c r="R155" s="3"/>
      <c r="S155" s="3"/>
      <c r="T155" s="3"/>
      <c r="U155" s="3"/>
      <c r="V155" s="3"/>
      <c r="W155" s="3"/>
      <c r="X155" s="79" t="s">
        <v>38</v>
      </c>
      <c r="Y155" s="79"/>
      <c r="Z155" s="79"/>
      <c r="AA155" s="3" t="s">
        <v>117</v>
      </c>
      <c r="AB155" s="106">
        <f>AD154*AJ153+AD158*AJ157</f>
        <v>1.6248254720371094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</row>
    <row r="156" spans="11:56" ht="17" thickBot="1" x14ac:dyDescent="0.25"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8">
        <f>p_sick</f>
        <v>0.9</v>
      </c>
      <c r="Y156" s="3"/>
      <c r="Z156" s="3"/>
      <c r="AA156" s="3"/>
      <c r="AB156" s="104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</row>
    <row r="157" spans="11:56" ht="17" thickBot="1" x14ac:dyDescent="0.25">
      <c r="K157" s="3"/>
      <c r="L157" s="3"/>
      <c r="M157" s="3"/>
      <c r="N157" s="3"/>
      <c r="O157" s="3"/>
      <c r="P157" s="3"/>
      <c r="Q157" s="79" t="s">
        <v>37</v>
      </c>
      <c r="R157" s="79"/>
      <c r="S157" s="79"/>
      <c r="T157" s="79"/>
      <c r="U157" s="3" t="s">
        <v>117</v>
      </c>
      <c r="V157" s="106">
        <f>X156*AB155+X160*AD160</f>
        <v>2.602455614057603</v>
      </c>
      <c r="W157" s="3"/>
      <c r="X157" s="3"/>
      <c r="Y157" s="3"/>
      <c r="Z157" s="3"/>
      <c r="AA157" s="3" t="s">
        <v>118</v>
      </c>
      <c r="AB157" s="104">
        <f>AD154*AG153+AD158*AG157</f>
        <v>0</v>
      </c>
      <c r="AC157" s="3"/>
      <c r="AD157" s="79" t="s">
        <v>43</v>
      </c>
      <c r="AE157" s="3"/>
      <c r="AF157" s="3" t="s">
        <v>107</v>
      </c>
      <c r="AG157" s="82">
        <v>0</v>
      </c>
      <c r="AI157" t="s">
        <v>74</v>
      </c>
      <c r="AJ157" s="83">
        <f>'Costs &amp; QALY'!J54</f>
        <v>1.3297859926719411</v>
      </c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</row>
    <row r="158" spans="11:56" ht="17" thickBot="1" x14ac:dyDescent="0.25">
      <c r="K158" s="3"/>
      <c r="L158" s="3"/>
      <c r="M158" s="3"/>
      <c r="N158" s="3"/>
      <c r="O158" s="3"/>
      <c r="P158" s="3"/>
      <c r="Q158" s="38">
        <v>1</v>
      </c>
      <c r="R158" s="3"/>
      <c r="S158" s="3"/>
      <c r="T158" s="3"/>
      <c r="U158" s="3"/>
      <c r="V158" s="104"/>
      <c r="W158" s="3"/>
      <c r="X158" s="3"/>
      <c r="Y158" s="3"/>
      <c r="Z158" s="3"/>
      <c r="AA158" s="3"/>
      <c r="AB158" s="3"/>
      <c r="AC158" s="3"/>
      <c r="AD158" s="36">
        <f>p_MVDgivenS</f>
        <v>0.9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</row>
    <row r="159" spans="11:56" ht="17" thickBot="1" x14ac:dyDescent="0.25"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 t="s">
        <v>118</v>
      </c>
      <c r="V159" s="104">
        <f>X156*AB157+X160*AA160</f>
        <v>0</v>
      </c>
      <c r="W159" s="3"/>
      <c r="X159" s="79" t="s">
        <v>39</v>
      </c>
      <c r="Y159" s="79"/>
      <c r="Z159" s="79"/>
      <c r="AA159" s="79"/>
      <c r="AB159" s="79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</row>
    <row r="160" spans="11:56" ht="17" thickBot="1" x14ac:dyDescent="0.25">
      <c r="W160" s="3"/>
      <c r="X160" s="36">
        <f>p_healthy</f>
        <v>9.9999999999999978E-2</v>
      </c>
      <c r="Y160" s="3"/>
      <c r="Z160" s="3" t="s">
        <v>107</v>
      </c>
      <c r="AA160" s="97">
        <v>0</v>
      </c>
      <c r="AC160" t="s">
        <v>74</v>
      </c>
      <c r="AD160" s="83">
        <f>'Costs &amp; QALY'!O63</f>
        <v>11.401126892242047</v>
      </c>
      <c r="AE160" s="3"/>
      <c r="AF160" s="3"/>
      <c r="AG160" s="3"/>
      <c r="AH160" s="3"/>
      <c r="AI160" s="3"/>
    </row>
    <row r="161" spans="23:35" x14ac:dyDescent="0.2"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spans="23:35" x14ac:dyDescent="0.2"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092E-A03B-264E-A9DC-6FEE4EDCBD9D}">
  <dimension ref="B2:I54"/>
  <sheetViews>
    <sheetView topLeftCell="A19" zoomScale="150" workbookViewId="0">
      <selection activeCell="F54" sqref="F54"/>
    </sheetView>
  </sheetViews>
  <sheetFormatPr baseColWidth="10" defaultRowHeight="16" x14ac:dyDescent="0.2"/>
  <cols>
    <col min="2" max="2" width="18.6640625" bestFit="1" customWidth="1"/>
    <col min="6" max="6" width="28.83203125" bestFit="1" customWidth="1"/>
  </cols>
  <sheetData>
    <row r="2" spans="2:9" x14ac:dyDescent="0.2">
      <c r="B2" s="93" t="s">
        <v>136</v>
      </c>
      <c r="C2" s="93" t="s">
        <v>137</v>
      </c>
      <c r="D2" s="93" t="s">
        <v>107</v>
      </c>
      <c r="E2" s="93"/>
      <c r="G2" s="119"/>
    </row>
    <row r="3" spans="2:9" x14ac:dyDescent="0.2">
      <c r="B3" s="120" t="s">
        <v>138</v>
      </c>
      <c r="C3">
        <f>'The Decision Tree'!V157</f>
        <v>2.602455614057603</v>
      </c>
      <c r="D3">
        <f>'The Decision Tree'!V159</f>
        <v>0</v>
      </c>
    </row>
    <row r="4" spans="2:9" x14ac:dyDescent="0.2">
      <c r="B4" t="s">
        <v>139</v>
      </c>
      <c r="C4">
        <f>'The Decision Tree'!V145</f>
        <v>5.0753434223977196</v>
      </c>
      <c r="D4">
        <f>'The Decision Tree'!V147</f>
        <v>1189.2895904606423</v>
      </c>
    </row>
    <row r="5" spans="2:9" x14ac:dyDescent="0.2">
      <c r="B5" t="s">
        <v>140</v>
      </c>
      <c r="C5">
        <f>'The Decision Tree'!V44</f>
        <v>5.5730759862425101</v>
      </c>
      <c r="D5">
        <f>'The Decision Tree'!R46</f>
        <v>4307.7464477262056</v>
      </c>
    </row>
    <row r="6" spans="2:9" x14ac:dyDescent="0.2">
      <c r="B6" t="s">
        <v>141</v>
      </c>
      <c r="C6">
        <f>'The Decision Tree'!V108</f>
        <v>5.6607099482111396</v>
      </c>
      <c r="D6">
        <f>'The Decision Tree'!V110</f>
        <v>4854.5937438448609</v>
      </c>
    </row>
    <row r="8" spans="2:9" ht="17" thickBot="1" x14ac:dyDescent="0.25"/>
    <row r="9" spans="2:9" ht="17" thickBot="1" x14ac:dyDescent="0.25">
      <c r="B9" s="119" t="s">
        <v>142</v>
      </c>
      <c r="F9" s="131" t="s">
        <v>149</v>
      </c>
      <c r="G9" s="125"/>
      <c r="H9" s="125"/>
    </row>
    <row r="10" spans="2:9" ht="17" thickBot="1" x14ac:dyDescent="0.25">
      <c r="B10" t="s">
        <v>143</v>
      </c>
      <c r="C10">
        <f>(D4-D3)/(C4-C3)</f>
        <v>480.93147875516945</v>
      </c>
      <c r="F10" s="132">
        <v>30000</v>
      </c>
      <c r="G10" s="133"/>
      <c r="H10" s="133"/>
    </row>
    <row r="11" spans="2:9" x14ac:dyDescent="0.2">
      <c r="B11" t="s">
        <v>144</v>
      </c>
      <c r="C11">
        <f>(D5-D4)/(C5-C4)</f>
        <v>6265.3261686892602</v>
      </c>
    </row>
    <row r="12" spans="2:9" x14ac:dyDescent="0.2">
      <c r="B12" t="s">
        <v>145</v>
      </c>
      <c r="C12">
        <f>(D6-D5)/(C6-C5)</f>
        <v>6240.1297834098996</v>
      </c>
      <c r="F12" s="105" t="s">
        <v>146</v>
      </c>
      <c r="G12" s="121">
        <v>30000</v>
      </c>
    </row>
    <row r="13" spans="2:9" x14ac:dyDescent="0.2">
      <c r="F13" s="120" t="s">
        <v>138</v>
      </c>
      <c r="G13">
        <f>(C3*F10)-D3</f>
        <v>78073.668421728085</v>
      </c>
    </row>
    <row r="14" spans="2:9" x14ac:dyDescent="0.2">
      <c r="F14" t="s">
        <v>139</v>
      </c>
      <c r="G14">
        <f>(C4*base_threshold)-D4</f>
        <v>151071.01308147094</v>
      </c>
    </row>
    <row r="15" spans="2:9" x14ac:dyDescent="0.2">
      <c r="B15" s="105" t="s">
        <v>146</v>
      </c>
      <c r="C15" s="121">
        <v>25000</v>
      </c>
      <c r="F15" t="s">
        <v>140</v>
      </c>
      <c r="G15">
        <f>(C5*base_threshold)-D5</f>
        <v>162884.53313954908</v>
      </c>
    </row>
    <row r="16" spans="2:9" x14ac:dyDescent="0.2">
      <c r="B16" s="120" t="s">
        <v>138</v>
      </c>
      <c r="C16">
        <f>(C3*$C$15)-D3</f>
        <v>65061.390351440074</v>
      </c>
      <c r="F16" t="s">
        <v>141</v>
      </c>
      <c r="G16">
        <f>(C6*base_threshold)-D6</f>
        <v>164966.70470248934</v>
      </c>
      <c r="H16" t="s">
        <v>130</v>
      </c>
      <c r="I16" t="str">
        <f>F16</f>
        <v>Angiography</v>
      </c>
    </row>
    <row r="17" spans="2:5" x14ac:dyDescent="0.2">
      <c r="B17" t="s">
        <v>139</v>
      </c>
      <c r="C17">
        <f t="shared" ref="C17:C19" si="0">(C4*$C$15)-D4</f>
        <v>125694.29596948235</v>
      </c>
    </row>
    <row r="18" spans="2:5" x14ac:dyDescent="0.2">
      <c r="B18" t="s">
        <v>140</v>
      </c>
      <c r="C18">
        <f>(C5*$C$15)-D5</f>
        <v>135019.15320833653</v>
      </c>
    </row>
    <row r="19" spans="2:5" x14ac:dyDescent="0.2">
      <c r="B19" t="s">
        <v>141</v>
      </c>
      <c r="C19">
        <f>(C6*$C$15)-D6</f>
        <v>136663.15496143364</v>
      </c>
      <c r="D19" t="s">
        <v>130</v>
      </c>
      <c r="E19" t="str">
        <f>B19</f>
        <v>Angiography</v>
      </c>
    </row>
    <row r="22" spans="2:5" x14ac:dyDescent="0.2">
      <c r="B22" s="105" t="s">
        <v>146</v>
      </c>
      <c r="C22" s="121">
        <v>35000</v>
      </c>
    </row>
    <row r="23" spans="2:5" x14ac:dyDescent="0.2">
      <c r="B23" s="120" t="s">
        <v>138</v>
      </c>
      <c r="C23">
        <f>(C3*$C$22)-D3</f>
        <v>91085.946492016097</v>
      </c>
    </row>
    <row r="24" spans="2:5" x14ac:dyDescent="0.2">
      <c r="B24" t="s">
        <v>139</v>
      </c>
      <c r="C24">
        <f t="shared" ref="C24:C26" si="1">(C4*$C$22)-D4</f>
        <v>176447.73019345955</v>
      </c>
    </row>
    <row r="25" spans="2:5" x14ac:dyDescent="0.2">
      <c r="B25" t="s">
        <v>140</v>
      </c>
      <c r="C25">
        <f t="shared" si="1"/>
        <v>190749.91307076166</v>
      </c>
    </row>
    <row r="26" spans="2:5" x14ac:dyDescent="0.2">
      <c r="B26" t="s">
        <v>141</v>
      </c>
      <c r="C26">
        <f t="shared" si="1"/>
        <v>193270.25444354504</v>
      </c>
      <c r="D26" t="s">
        <v>130</v>
      </c>
      <c r="E26" t="str">
        <f>B26</f>
        <v>Angiography</v>
      </c>
    </row>
    <row r="29" spans="2:5" x14ac:dyDescent="0.2">
      <c r="B29" s="105" t="s">
        <v>146</v>
      </c>
      <c r="C29" s="121">
        <v>10000</v>
      </c>
    </row>
    <row r="30" spans="2:5" x14ac:dyDescent="0.2">
      <c r="B30" s="120" t="s">
        <v>138</v>
      </c>
      <c r="C30">
        <f>(C3*$C$29)-D3</f>
        <v>26024.556140576031</v>
      </c>
    </row>
    <row r="31" spans="2:5" x14ac:dyDescent="0.2">
      <c r="B31" t="s">
        <v>139</v>
      </c>
      <c r="C31">
        <f t="shared" ref="C31:C33" si="2">(C4*$C$29)-D4</f>
        <v>49564.144633516553</v>
      </c>
    </row>
    <row r="32" spans="2:5" x14ac:dyDescent="0.2">
      <c r="B32" t="s">
        <v>140</v>
      </c>
      <c r="C32">
        <f t="shared" si="2"/>
        <v>51423.0134146989</v>
      </c>
    </row>
    <row r="33" spans="2:5" x14ac:dyDescent="0.2">
      <c r="B33" t="s">
        <v>141</v>
      </c>
      <c r="C33">
        <f t="shared" si="2"/>
        <v>51752.505738266533</v>
      </c>
      <c r="D33" t="s">
        <v>130</v>
      </c>
      <c r="E33" t="str">
        <f>IF(C33&gt;C32,B33,B32)</f>
        <v>Angiography</v>
      </c>
    </row>
    <row r="36" spans="2:5" x14ac:dyDescent="0.2">
      <c r="B36" s="105" t="s">
        <v>146</v>
      </c>
      <c r="C36" s="121">
        <v>5000</v>
      </c>
    </row>
    <row r="37" spans="2:5" x14ac:dyDescent="0.2">
      <c r="B37" s="120" t="s">
        <v>138</v>
      </c>
      <c r="C37">
        <f>(C3*$C$36)-D4</f>
        <v>11822.988479827372</v>
      </c>
    </row>
    <row r="38" spans="2:5" x14ac:dyDescent="0.2">
      <c r="B38" t="s">
        <v>139</v>
      </c>
      <c r="C38">
        <f t="shared" ref="C38:C40" si="3">(C4*$C$36)-D5</f>
        <v>21068.970664262393</v>
      </c>
    </row>
    <row r="39" spans="2:5" x14ac:dyDescent="0.2">
      <c r="B39" t="s">
        <v>140</v>
      </c>
      <c r="C39">
        <f t="shared" si="3"/>
        <v>23010.786187367692</v>
      </c>
    </row>
    <row r="40" spans="2:5" x14ac:dyDescent="0.2">
      <c r="B40" t="s">
        <v>141</v>
      </c>
      <c r="C40">
        <f t="shared" si="3"/>
        <v>28303.549741055696</v>
      </c>
      <c r="D40" t="s">
        <v>130</v>
      </c>
      <c r="E40" t="str">
        <f>IF(C40&gt;C39,B40,B39)</f>
        <v>Angiography</v>
      </c>
    </row>
    <row r="43" spans="2:5" x14ac:dyDescent="0.2">
      <c r="B43" s="105" t="s">
        <v>146</v>
      </c>
      <c r="C43" s="121">
        <v>15000</v>
      </c>
    </row>
    <row r="44" spans="2:5" x14ac:dyDescent="0.2">
      <c r="B44" s="120" t="s">
        <v>138</v>
      </c>
      <c r="C44">
        <f>(C3*$C$43)-D3</f>
        <v>39036.834210864043</v>
      </c>
    </row>
    <row r="45" spans="2:5" x14ac:dyDescent="0.2">
      <c r="B45" t="s">
        <v>139</v>
      </c>
      <c r="C45">
        <f t="shared" ref="C45:C47" si="4">(C4*$C$43)-D4</f>
        <v>74940.861745505157</v>
      </c>
    </row>
    <row r="46" spans="2:5" x14ac:dyDescent="0.2">
      <c r="B46" t="s">
        <v>140</v>
      </c>
      <c r="C46">
        <f t="shared" si="4"/>
        <v>79288.393345911434</v>
      </c>
    </row>
    <row r="47" spans="2:5" x14ac:dyDescent="0.2">
      <c r="B47" t="s">
        <v>141</v>
      </c>
      <c r="C47">
        <f t="shared" si="4"/>
        <v>80056.05547932224</v>
      </c>
      <c r="D47" t="s">
        <v>130</v>
      </c>
      <c r="E47" t="str">
        <f>IF(C47&gt;C46,B47,B46)</f>
        <v>Angiography</v>
      </c>
    </row>
    <row r="50" spans="2:5" x14ac:dyDescent="0.2">
      <c r="B50" s="105" t="s">
        <v>146</v>
      </c>
      <c r="C50" s="121">
        <v>20000</v>
      </c>
    </row>
    <row r="51" spans="2:5" x14ac:dyDescent="0.2">
      <c r="B51" s="120" t="s">
        <v>138</v>
      </c>
      <c r="C51">
        <f>(C3*$C$50)-D3</f>
        <v>52049.112281152062</v>
      </c>
    </row>
    <row r="52" spans="2:5" x14ac:dyDescent="0.2">
      <c r="B52" t="s">
        <v>139</v>
      </c>
      <c r="C52">
        <f t="shared" ref="C52:C54" si="5">(C4*$C$50)-D4</f>
        <v>100317.57885749375</v>
      </c>
    </row>
    <row r="53" spans="2:5" x14ac:dyDescent="0.2">
      <c r="B53" t="s">
        <v>140</v>
      </c>
      <c r="C53">
        <f t="shared" si="5"/>
        <v>107153.773277124</v>
      </c>
    </row>
    <row r="54" spans="2:5" x14ac:dyDescent="0.2">
      <c r="B54" t="s">
        <v>141</v>
      </c>
      <c r="C54">
        <f t="shared" si="5"/>
        <v>108359.60522037793</v>
      </c>
      <c r="D54" t="s">
        <v>130</v>
      </c>
      <c r="E54" t="str">
        <f>IF(C54&gt;C53,B54,B53)</f>
        <v>Angiography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F588-8613-3041-9D8F-4AD9B102640E}">
  <dimension ref="C1:IO59"/>
  <sheetViews>
    <sheetView workbookViewId="0">
      <selection activeCell="DE35" sqref="DE35"/>
    </sheetView>
  </sheetViews>
  <sheetFormatPr baseColWidth="10" defaultRowHeight="16" x14ac:dyDescent="0.2"/>
  <sheetData>
    <row r="1" spans="3:249" ht="17" thickBot="1" x14ac:dyDescent="0.25"/>
    <row r="2" spans="3:249" ht="17" thickBot="1" x14ac:dyDescent="0.25">
      <c r="C2" s="134" t="s">
        <v>152</v>
      </c>
      <c r="D2" s="135"/>
      <c r="E2" s="135"/>
      <c r="F2" s="135"/>
      <c r="G2" s="136"/>
      <c r="H2" s="137"/>
      <c r="I2" s="134" t="s">
        <v>150</v>
      </c>
      <c r="J2" s="135"/>
      <c r="K2" s="135"/>
      <c r="L2" s="135"/>
      <c r="M2" s="136"/>
      <c r="O2" s="134" t="s">
        <v>153</v>
      </c>
      <c r="P2" s="135"/>
      <c r="Q2" s="135"/>
      <c r="R2" s="135"/>
      <c r="S2" s="136"/>
      <c r="U2" s="134" t="s">
        <v>154</v>
      </c>
      <c r="V2" s="135"/>
      <c r="W2" s="135"/>
      <c r="X2" s="135"/>
      <c r="Y2" s="136"/>
      <c r="AA2" s="134" t="s">
        <v>155</v>
      </c>
      <c r="AB2" s="135"/>
      <c r="AC2" s="135"/>
      <c r="AD2" s="135"/>
      <c r="AE2" s="136"/>
      <c r="AG2" s="134" t="s">
        <v>156</v>
      </c>
      <c r="AH2" s="135"/>
      <c r="AI2" s="135"/>
      <c r="AJ2" s="135"/>
      <c r="AK2" s="136"/>
      <c r="AM2" s="134" t="s">
        <v>157</v>
      </c>
      <c r="AN2" s="135"/>
      <c r="AO2" s="135"/>
      <c r="AP2" s="135"/>
      <c r="AQ2" s="136"/>
      <c r="AS2" s="144" t="s">
        <v>158</v>
      </c>
      <c r="AT2" s="145"/>
      <c r="AU2" s="145"/>
      <c r="AV2" s="145"/>
      <c r="AW2" s="146"/>
      <c r="AY2" s="144" t="s">
        <v>159</v>
      </c>
      <c r="AZ2" s="145"/>
      <c r="BA2" s="145"/>
      <c r="BB2" s="145"/>
      <c r="BC2" s="145"/>
      <c r="BD2" s="146"/>
      <c r="BF2" s="144" t="s">
        <v>160</v>
      </c>
      <c r="BG2" s="145"/>
      <c r="BH2" s="145"/>
      <c r="BI2" s="145"/>
      <c r="BJ2" s="145"/>
      <c r="BK2" s="146"/>
      <c r="BM2" s="134" t="s">
        <v>161</v>
      </c>
      <c r="BN2" s="135"/>
      <c r="BO2" s="135"/>
      <c r="BP2" s="135"/>
      <c r="BQ2" s="136"/>
      <c r="BS2" s="144" t="s">
        <v>162</v>
      </c>
      <c r="BT2" s="145"/>
      <c r="BU2" s="145"/>
      <c r="BV2" s="145"/>
      <c r="BW2" s="146"/>
      <c r="BY2" s="134" t="s">
        <v>163</v>
      </c>
      <c r="BZ2" s="135"/>
      <c r="CA2" s="135"/>
      <c r="CB2" s="135"/>
      <c r="CC2" s="136"/>
      <c r="CE2" s="134" t="s">
        <v>164</v>
      </c>
      <c r="CF2" s="135"/>
      <c r="CG2" s="135"/>
      <c r="CH2" s="135"/>
      <c r="CI2" s="136"/>
      <c r="CK2" s="144" t="s">
        <v>165</v>
      </c>
      <c r="CL2" s="145"/>
      <c r="CM2" s="145"/>
      <c r="CN2" s="145"/>
      <c r="CO2" s="146"/>
      <c r="CQ2" s="144" t="s">
        <v>166</v>
      </c>
      <c r="CR2" s="145"/>
      <c r="CS2" s="145"/>
      <c r="CT2" s="145"/>
      <c r="CU2" s="146"/>
      <c r="CW2" s="144" t="s">
        <v>167</v>
      </c>
      <c r="CX2" s="145"/>
      <c r="CY2" s="145"/>
      <c r="CZ2" s="145"/>
      <c r="DA2" s="146"/>
      <c r="DC2" s="144" t="s">
        <v>168</v>
      </c>
      <c r="DD2" s="145"/>
      <c r="DE2" s="145"/>
      <c r="DF2" s="145"/>
      <c r="DG2" s="146"/>
      <c r="DI2" s="144" t="s">
        <v>169</v>
      </c>
      <c r="DJ2" s="145"/>
      <c r="DK2" s="145"/>
      <c r="DL2" s="145"/>
      <c r="DM2" s="146"/>
      <c r="DO2" s="147" t="s">
        <v>170</v>
      </c>
      <c r="DP2" s="148"/>
      <c r="DQ2" s="148"/>
      <c r="DR2" s="148"/>
      <c r="DS2" s="149"/>
      <c r="DU2" s="147" t="s">
        <v>171</v>
      </c>
      <c r="DV2" s="148"/>
      <c r="DW2" s="148"/>
      <c r="DX2" s="148"/>
      <c r="DY2" s="149"/>
      <c r="EA2" s="147" t="s">
        <v>172</v>
      </c>
      <c r="EB2" s="148"/>
      <c r="EC2" s="148"/>
      <c r="ED2" s="148"/>
      <c r="EE2" s="149"/>
      <c r="EG2" s="147" t="s">
        <v>173</v>
      </c>
      <c r="EH2" s="148"/>
      <c r="EI2" s="148"/>
      <c r="EJ2" s="148"/>
      <c r="EK2" s="149"/>
      <c r="EM2" s="144" t="s">
        <v>174</v>
      </c>
      <c r="EN2" s="145"/>
      <c r="EO2" s="145"/>
      <c r="EP2" s="145"/>
      <c r="EQ2" s="146"/>
      <c r="ES2" s="144" t="s">
        <v>175</v>
      </c>
      <c r="ET2" s="145"/>
      <c r="EU2" s="145"/>
      <c r="EV2" s="145"/>
      <c r="EW2" s="146"/>
      <c r="EY2" s="144" t="s">
        <v>176</v>
      </c>
      <c r="EZ2" s="145"/>
      <c r="FA2" s="145"/>
      <c r="FB2" s="145"/>
      <c r="FC2" s="146"/>
      <c r="FE2" s="144" t="s">
        <v>177</v>
      </c>
      <c r="FF2" s="145"/>
      <c r="FG2" s="145"/>
      <c r="FH2" s="145"/>
      <c r="FI2" s="146"/>
      <c r="FK2" s="144" t="s">
        <v>178</v>
      </c>
      <c r="FL2" s="145"/>
      <c r="FM2" s="145"/>
      <c r="FN2" s="145"/>
      <c r="FO2" s="146"/>
      <c r="FQ2" s="144" t="s">
        <v>179</v>
      </c>
      <c r="FR2" s="145"/>
      <c r="FS2" s="145"/>
      <c r="FT2" s="145"/>
      <c r="FU2" s="146"/>
      <c r="FW2" s="144" t="s">
        <v>180</v>
      </c>
      <c r="FX2" s="145"/>
      <c r="FY2" s="145"/>
      <c r="FZ2" s="145"/>
      <c r="GA2" s="146"/>
      <c r="GC2" s="144" t="s">
        <v>181</v>
      </c>
      <c r="GD2" s="145"/>
      <c r="GE2" s="145"/>
      <c r="GF2" s="145"/>
      <c r="GG2" s="146"/>
      <c r="GI2" s="147" t="s">
        <v>182</v>
      </c>
      <c r="GJ2" s="148"/>
      <c r="GK2" s="148"/>
      <c r="GL2" s="148"/>
      <c r="GM2" s="149"/>
      <c r="GO2" s="144" t="s">
        <v>183</v>
      </c>
      <c r="GP2" s="145"/>
      <c r="GQ2" s="145"/>
      <c r="GR2" s="145"/>
      <c r="GS2" s="146"/>
      <c r="GU2" s="144" t="s">
        <v>184</v>
      </c>
      <c r="GV2" s="145"/>
      <c r="GW2" s="145"/>
      <c r="GX2" s="145"/>
      <c r="GY2" s="146"/>
      <c r="HA2" s="144" t="s">
        <v>185</v>
      </c>
      <c r="HB2" s="145"/>
      <c r="HC2" s="145"/>
      <c r="HD2" s="145"/>
      <c r="HE2" s="146"/>
      <c r="HG2" s="147" t="s">
        <v>186</v>
      </c>
      <c r="HH2" s="148"/>
      <c r="HI2" s="148"/>
      <c r="HJ2" s="148"/>
      <c r="HK2" s="149"/>
      <c r="HM2" s="147" t="s">
        <v>187</v>
      </c>
      <c r="HN2" s="148"/>
      <c r="HO2" s="148"/>
      <c r="HP2" s="148"/>
      <c r="HQ2" s="149"/>
      <c r="HS2" s="147" t="s">
        <v>188</v>
      </c>
      <c r="HT2" s="148"/>
      <c r="HU2" s="148"/>
      <c r="HV2" s="148"/>
      <c r="HW2" s="149"/>
      <c r="HY2" s="144" t="s">
        <v>189</v>
      </c>
      <c r="HZ2" s="145"/>
      <c r="IA2" s="145"/>
      <c r="IB2" s="145"/>
      <c r="IC2" s="146"/>
      <c r="IE2" s="144" t="s">
        <v>190</v>
      </c>
      <c r="IF2" s="145"/>
      <c r="IG2" s="145"/>
      <c r="IH2" s="145"/>
      <c r="II2" s="146"/>
      <c r="IK2" s="144" t="s">
        <v>191</v>
      </c>
      <c r="IL2" s="145"/>
      <c r="IM2" s="145"/>
      <c r="IN2" s="145"/>
      <c r="IO2" s="146"/>
    </row>
    <row r="3" spans="3:249" ht="17" thickBot="1" x14ac:dyDescent="0.25">
      <c r="C3" s="126"/>
      <c r="D3" s="138" t="s">
        <v>37</v>
      </c>
      <c r="E3" s="139" t="s">
        <v>32</v>
      </c>
      <c r="F3" s="140" t="s">
        <v>36</v>
      </c>
      <c r="G3" s="141" t="s">
        <v>26</v>
      </c>
      <c r="H3" s="137"/>
      <c r="I3" s="126"/>
      <c r="J3" s="138" t="s">
        <v>37</v>
      </c>
      <c r="K3" s="139" t="s">
        <v>32</v>
      </c>
      <c r="L3" s="140" t="s">
        <v>36</v>
      </c>
      <c r="M3" s="141" t="s">
        <v>26</v>
      </c>
      <c r="O3" s="126"/>
      <c r="P3" s="138" t="s">
        <v>37</v>
      </c>
      <c r="Q3" s="139" t="s">
        <v>32</v>
      </c>
      <c r="R3" s="140" t="s">
        <v>36</v>
      </c>
      <c r="S3" s="141" t="s">
        <v>26</v>
      </c>
      <c r="U3" s="126"/>
      <c r="V3" s="138" t="s">
        <v>37</v>
      </c>
      <c r="W3" s="139" t="s">
        <v>32</v>
      </c>
      <c r="X3" s="140" t="s">
        <v>36</v>
      </c>
      <c r="Y3" s="141" t="s">
        <v>26</v>
      </c>
      <c r="AA3" s="67"/>
      <c r="AB3" s="186" t="s">
        <v>37</v>
      </c>
      <c r="AC3" s="187" t="s">
        <v>32</v>
      </c>
      <c r="AD3" s="188" t="s">
        <v>36</v>
      </c>
      <c r="AE3" s="189" t="s">
        <v>26</v>
      </c>
      <c r="AG3" s="67"/>
      <c r="AH3" s="186" t="s">
        <v>37</v>
      </c>
      <c r="AI3" s="187" t="s">
        <v>32</v>
      </c>
      <c r="AJ3" s="188" t="s">
        <v>36</v>
      </c>
      <c r="AK3" s="189" t="s">
        <v>26</v>
      </c>
      <c r="AM3" s="126"/>
      <c r="AN3" s="138" t="s">
        <v>37</v>
      </c>
      <c r="AO3" s="139" t="s">
        <v>32</v>
      </c>
      <c r="AP3" s="140" t="s">
        <v>36</v>
      </c>
      <c r="AQ3" s="141" t="s">
        <v>26</v>
      </c>
      <c r="AS3" s="92" t="s">
        <v>151</v>
      </c>
      <c r="AT3" s="150" t="s">
        <v>37</v>
      </c>
      <c r="AU3" s="150" t="s">
        <v>32</v>
      </c>
      <c r="AV3" s="150" t="s">
        <v>192</v>
      </c>
      <c r="AW3" s="151" t="s">
        <v>26</v>
      </c>
      <c r="AY3" s="92" t="s">
        <v>151</v>
      </c>
      <c r="AZ3" s="50" t="s">
        <v>37</v>
      </c>
      <c r="BA3" s="50" t="s">
        <v>32</v>
      </c>
      <c r="BB3" s="50" t="s">
        <v>193</v>
      </c>
      <c r="BC3" s="50" t="s">
        <v>192</v>
      </c>
      <c r="BD3" s="51" t="s">
        <v>26</v>
      </c>
      <c r="BF3" s="92" t="s">
        <v>151</v>
      </c>
      <c r="BG3" s="150" t="s">
        <v>37</v>
      </c>
      <c r="BH3" s="150" t="s">
        <v>32</v>
      </c>
      <c r="BI3" s="150" t="s">
        <v>193</v>
      </c>
      <c r="BJ3" s="150" t="s">
        <v>192</v>
      </c>
      <c r="BK3" s="151" t="s">
        <v>26</v>
      </c>
      <c r="BM3" s="152" t="s">
        <v>194</v>
      </c>
      <c r="BN3" s="150" t="s">
        <v>36</v>
      </c>
      <c r="BO3" s="150" t="s">
        <v>26</v>
      </c>
      <c r="BP3" s="150" t="s">
        <v>32</v>
      </c>
      <c r="BQ3" s="151" t="s">
        <v>37</v>
      </c>
      <c r="BS3" s="153" t="s">
        <v>194</v>
      </c>
      <c r="BT3" s="150" t="s">
        <v>36</v>
      </c>
      <c r="BU3" s="150" t="s">
        <v>26</v>
      </c>
      <c r="BV3" s="150" t="s">
        <v>32</v>
      </c>
      <c r="BW3" s="151" t="s">
        <v>37</v>
      </c>
      <c r="BY3" s="153" t="s">
        <v>194</v>
      </c>
      <c r="BZ3" s="150" t="s">
        <v>36</v>
      </c>
      <c r="CA3" s="150" t="s">
        <v>26</v>
      </c>
      <c r="CB3" s="150" t="s">
        <v>32</v>
      </c>
      <c r="CC3" s="151" t="s">
        <v>37</v>
      </c>
      <c r="CE3" s="153" t="s">
        <v>195</v>
      </c>
      <c r="CF3" s="150" t="s">
        <v>36</v>
      </c>
      <c r="CG3" s="150" t="s">
        <v>26</v>
      </c>
      <c r="CH3" s="150" t="s">
        <v>32</v>
      </c>
      <c r="CI3" s="151" t="s">
        <v>37</v>
      </c>
      <c r="CK3" s="153" t="s">
        <v>195</v>
      </c>
      <c r="CL3" s="150" t="s">
        <v>36</v>
      </c>
      <c r="CM3" s="150" t="s">
        <v>26</v>
      </c>
      <c r="CN3" s="150" t="s">
        <v>32</v>
      </c>
      <c r="CO3" s="151" t="s">
        <v>37</v>
      </c>
      <c r="CQ3" s="153" t="s">
        <v>195</v>
      </c>
      <c r="CR3" s="150" t="s">
        <v>36</v>
      </c>
      <c r="CS3" s="150" t="s">
        <v>26</v>
      </c>
      <c r="CT3" s="150" t="s">
        <v>32</v>
      </c>
      <c r="CU3" s="151" t="s">
        <v>37</v>
      </c>
      <c r="CW3" s="153" t="s">
        <v>196</v>
      </c>
      <c r="CX3" s="150" t="s">
        <v>36</v>
      </c>
      <c r="CY3" s="150" t="s">
        <v>26</v>
      </c>
      <c r="CZ3" s="150" t="s">
        <v>32</v>
      </c>
      <c r="DA3" s="151" t="s">
        <v>37</v>
      </c>
      <c r="DC3" s="153" t="s">
        <v>196</v>
      </c>
      <c r="DD3" s="197" t="s">
        <v>36</v>
      </c>
      <c r="DE3" s="197" t="s">
        <v>26</v>
      </c>
      <c r="DF3" s="197" t="s">
        <v>32</v>
      </c>
      <c r="DG3" s="151" t="s">
        <v>37</v>
      </c>
      <c r="DI3" s="153" t="s">
        <v>196</v>
      </c>
      <c r="DJ3" s="150" t="s">
        <v>36</v>
      </c>
      <c r="DK3" s="150" t="s">
        <v>26</v>
      </c>
      <c r="DL3" s="150" t="s">
        <v>32</v>
      </c>
      <c r="DM3" s="151" t="s">
        <v>37</v>
      </c>
      <c r="DO3" s="153" t="s">
        <v>197</v>
      </c>
      <c r="DP3" s="150" t="s">
        <v>36</v>
      </c>
      <c r="DQ3" s="150" t="s">
        <v>26</v>
      </c>
      <c r="DR3" s="150" t="s">
        <v>32</v>
      </c>
      <c r="DS3" s="151" t="s">
        <v>37</v>
      </c>
      <c r="DU3" s="153" t="s">
        <v>197</v>
      </c>
      <c r="DV3" s="150" t="s">
        <v>36</v>
      </c>
      <c r="DW3" s="150" t="s">
        <v>26</v>
      </c>
      <c r="DX3" s="150" t="s">
        <v>32</v>
      </c>
      <c r="DY3" s="151" t="s">
        <v>37</v>
      </c>
      <c r="EA3" s="153" t="s">
        <v>197</v>
      </c>
      <c r="EB3" s="150" t="s">
        <v>36</v>
      </c>
      <c r="EC3" s="150" t="s">
        <v>26</v>
      </c>
      <c r="ED3" s="150" t="s">
        <v>32</v>
      </c>
      <c r="EE3" s="151" t="s">
        <v>37</v>
      </c>
      <c r="EG3" s="23" t="s">
        <v>198</v>
      </c>
      <c r="EH3" s="150" t="s">
        <v>36</v>
      </c>
      <c r="EI3" s="150" t="s">
        <v>26</v>
      </c>
      <c r="EJ3" s="150" t="s">
        <v>32</v>
      </c>
      <c r="EK3" s="151" t="s">
        <v>37</v>
      </c>
      <c r="EM3" s="153" t="s">
        <v>198</v>
      </c>
      <c r="EN3" s="150" t="s">
        <v>36</v>
      </c>
      <c r="EO3" s="150" t="s">
        <v>26</v>
      </c>
      <c r="EP3" s="150" t="s">
        <v>32</v>
      </c>
      <c r="EQ3" s="151" t="s">
        <v>37</v>
      </c>
      <c r="ES3" s="23" t="s">
        <v>198</v>
      </c>
      <c r="ET3" s="150" t="s">
        <v>36</v>
      </c>
      <c r="EU3" s="150" t="s">
        <v>26</v>
      </c>
      <c r="EV3" s="150" t="s">
        <v>32</v>
      </c>
      <c r="EW3" s="151" t="s">
        <v>37</v>
      </c>
      <c r="EY3" s="153" t="s">
        <v>199</v>
      </c>
      <c r="EZ3" s="150" t="s">
        <v>36</v>
      </c>
      <c r="FA3" s="150" t="s">
        <v>26</v>
      </c>
      <c r="FB3" s="150" t="s">
        <v>32</v>
      </c>
      <c r="FC3" s="151" t="s">
        <v>37</v>
      </c>
      <c r="FE3" s="153" t="s">
        <v>199</v>
      </c>
      <c r="FF3" s="150" t="s">
        <v>36</v>
      </c>
      <c r="FG3" s="150" t="s">
        <v>26</v>
      </c>
      <c r="FH3" s="150" t="s">
        <v>32</v>
      </c>
      <c r="FI3" s="151" t="s">
        <v>37</v>
      </c>
      <c r="FK3" s="153" t="s">
        <v>199</v>
      </c>
      <c r="FL3" s="150" t="s">
        <v>36</v>
      </c>
      <c r="FM3" s="150" t="s">
        <v>26</v>
      </c>
      <c r="FN3" s="150" t="s">
        <v>32</v>
      </c>
      <c r="FO3" s="151" t="s">
        <v>37</v>
      </c>
      <c r="FQ3" s="153" t="s">
        <v>200</v>
      </c>
      <c r="FR3" s="150" t="s">
        <v>36</v>
      </c>
      <c r="FS3" s="150" t="s">
        <v>26</v>
      </c>
      <c r="FT3" s="150" t="s">
        <v>32</v>
      </c>
      <c r="FU3" s="151" t="s">
        <v>37</v>
      </c>
      <c r="FW3" s="153" t="s">
        <v>200</v>
      </c>
      <c r="FX3" s="150" t="s">
        <v>36</v>
      </c>
      <c r="FY3" s="150" t="s">
        <v>26</v>
      </c>
      <c r="FZ3" s="150" t="s">
        <v>32</v>
      </c>
      <c r="GA3" s="151" t="s">
        <v>37</v>
      </c>
      <c r="GC3" s="153" t="s">
        <v>200</v>
      </c>
      <c r="GD3" s="150" t="s">
        <v>36</v>
      </c>
      <c r="GE3" s="150" t="s">
        <v>26</v>
      </c>
      <c r="GF3" s="150" t="s">
        <v>32</v>
      </c>
      <c r="GG3" s="151" t="s">
        <v>37</v>
      </c>
      <c r="GI3" s="153" t="s">
        <v>201</v>
      </c>
      <c r="GJ3" s="150" t="s">
        <v>36</v>
      </c>
      <c r="GK3" s="150" t="s">
        <v>26</v>
      </c>
      <c r="GL3" s="150" t="s">
        <v>32</v>
      </c>
      <c r="GM3" s="151" t="s">
        <v>37</v>
      </c>
      <c r="GO3" s="153" t="s">
        <v>201</v>
      </c>
      <c r="GP3" s="150" t="s">
        <v>36</v>
      </c>
      <c r="GQ3" s="150" t="s">
        <v>26</v>
      </c>
      <c r="GR3" s="150" t="s">
        <v>32</v>
      </c>
      <c r="GS3" s="151" t="s">
        <v>37</v>
      </c>
      <c r="GU3" s="153" t="s">
        <v>201</v>
      </c>
      <c r="GV3" s="150" t="s">
        <v>36</v>
      </c>
      <c r="GW3" s="150" t="s">
        <v>26</v>
      </c>
      <c r="GX3" s="150" t="s">
        <v>32</v>
      </c>
      <c r="GY3" s="151" t="s">
        <v>37</v>
      </c>
      <c r="HA3" s="153" t="s">
        <v>202</v>
      </c>
      <c r="HB3" s="150" t="s">
        <v>36</v>
      </c>
      <c r="HC3" s="150" t="s">
        <v>26</v>
      </c>
      <c r="HD3" s="150" t="s">
        <v>32</v>
      </c>
      <c r="HE3" s="151" t="s">
        <v>37</v>
      </c>
      <c r="HG3" s="153" t="s">
        <v>203</v>
      </c>
      <c r="HH3" s="150" t="s">
        <v>36</v>
      </c>
      <c r="HI3" s="150" t="s">
        <v>26</v>
      </c>
      <c r="HJ3" s="150" t="s">
        <v>32</v>
      </c>
      <c r="HK3" s="151" t="s">
        <v>37</v>
      </c>
      <c r="HM3" s="153" t="s">
        <v>203</v>
      </c>
      <c r="HN3" s="150" t="s">
        <v>36</v>
      </c>
      <c r="HO3" s="150" t="s">
        <v>26</v>
      </c>
      <c r="HP3" s="150" t="s">
        <v>32</v>
      </c>
      <c r="HQ3" s="151" t="s">
        <v>37</v>
      </c>
      <c r="HS3" s="153" t="s">
        <v>203</v>
      </c>
      <c r="HT3" s="150" t="s">
        <v>36</v>
      </c>
      <c r="HU3" s="150" t="s">
        <v>26</v>
      </c>
      <c r="HV3" s="150" t="s">
        <v>32</v>
      </c>
      <c r="HW3" s="151" t="s">
        <v>37</v>
      </c>
      <c r="HY3" s="153" t="s">
        <v>203</v>
      </c>
      <c r="HZ3" s="150" t="s">
        <v>36</v>
      </c>
      <c r="IA3" s="150" t="s">
        <v>26</v>
      </c>
      <c r="IB3" s="150" t="s">
        <v>32</v>
      </c>
      <c r="IC3" s="151" t="s">
        <v>37</v>
      </c>
      <c r="IE3" s="153" t="s">
        <v>203</v>
      </c>
      <c r="IF3" s="150" t="s">
        <v>36</v>
      </c>
      <c r="IG3" s="150" t="s">
        <v>26</v>
      </c>
      <c r="IH3" s="150" t="s">
        <v>32</v>
      </c>
      <c r="II3" s="151" t="s">
        <v>37</v>
      </c>
      <c r="IK3" s="153" t="s">
        <v>203</v>
      </c>
      <c r="IL3" s="150" t="s">
        <v>36</v>
      </c>
      <c r="IM3" s="150" t="s">
        <v>26</v>
      </c>
      <c r="IN3" s="150" t="s">
        <v>32</v>
      </c>
      <c r="IO3" s="151" t="s">
        <v>37</v>
      </c>
    </row>
    <row r="4" spans="3:249" ht="17" thickBot="1" x14ac:dyDescent="0.25">
      <c r="C4" s="185" t="s">
        <v>151</v>
      </c>
      <c r="D4" s="142">
        <f>'ICER Interpretation'!C37</f>
        <v>11822.988479827372</v>
      </c>
      <c r="E4" s="142">
        <f>'ICER Interpretation'!C38</f>
        <v>21068.970664262393</v>
      </c>
      <c r="F4" s="142">
        <f>'ICER Interpretation'!C39</f>
        <v>23010.786187367692</v>
      </c>
      <c r="G4" s="143">
        <f>'ICER Interpretation'!C40</f>
        <v>28303.549741055696</v>
      </c>
      <c r="H4" s="137"/>
      <c r="I4" s="190" t="s">
        <v>151</v>
      </c>
      <c r="J4" s="191">
        <f>'ICER Interpretation'!C30</f>
        <v>26024.556140576031</v>
      </c>
      <c r="K4" s="191">
        <f>'ICER Interpretation'!C31</f>
        <v>49564.144633516553</v>
      </c>
      <c r="L4" s="191">
        <f>'ICER Interpretation'!C32</f>
        <v>51423.0134146989</v>
      </c>
      <c r="M4" s="192">
        <f>'ICER Interpretation'!C33</f>
        <v>51752.505738266533</v>
      </c>
      <c r="O4" s="190" t="s">
        <v>151</v>
      </c>
      <c r="P4" s="191">
        <f>'ICER Interpretation'!C44</f>
        <v>39036.834210864043</v>
      </c>
      <c r="Q4" s="191">
        <f>'ICER Interpretation'!C45</f>
        <v>74940.861745505157</v>
      </c>
      <c r="R4" s="191">
        <f>'ICER Interpretation'!C46</f>
        <v>79288.393345911434</v>
      </c>
      <c r="S4" s="192">
        <f>'ICER Interpretation'!C47</f>
        <v>80056.05547932224</v>
      </c>
      <c r="U4" s="190" t="s">
        <v>151</v>
      </c>
      <c r="V4" s="191">
        <f>'ICER Interpretation'!C51</f>
        <v>52049.112281152062</v>
      </c>
      <c r="W4" s="191">
        <f>'ICER Interpretation'!C52</f>
        <v>100317.57885749375</v>
      </c>
      <c r="X4" s="191">
        <f>'ICER Interpretation'!C53</f>
        <v>107153.773277124</v>
      </c>
      <c r="Y4" s="192">
        <f>'ICER Interpretation'!C54</f>
        <v>108359.60522037793</v>
      </c>
      <c r="AA4" s="193" t="s">
        <v>151</v>
      </c>
      <c r="AB4" s="127">
        <f>'ICER Interpretation'!C16</f>
        <v>65061.390351440074</v>
      </c>
      <c r="AC4" s="127">
        <f>'ICER Interpretation'!C17</f>
        <v>125694.29596948235</v>
      </c>
      <c r="AD4" s="127">
        <f>'ICER Interpretation'!C18</f>
        <v>135019.15320833653</v>
      </c>
      <c r="AE4" s="128">
        <f>'ICER Interpretation'!C19</f>
        <v>136663.15496143364</v>
      </c>
      <c r="AG4" s="194" t="s">
        <v>151</v>
      </c>
      <c r="AH4" s="195">
        <f>'ICER Interpretation'!G13</f>
        <v>78073.668421728085</v>
      </c>
      <c r="AI4" s="195">
        <f>'ICER Interpretation'!G14</f>
        <v>151071.01308147094</v>
      </c>
      <c r="AJ4" s="195">
        <f>'ICER Interpretation'!G15</f>
        <v>162884.53313954908</v>
      </c>
      <c r="AK4" s="196">
        <f>'ICER Interpretation'!G16</f>
        <v>164966.70470248934</v>
      </c>
      <c r="AM4" s="190" t="s">
        <v>151</v>
      </c>
      <c r="AN4" s="191">
        <f>'ICER Interpretation'!C23</f>
        <v>91085.946492016097</v>
      </c>
      <c r="AO4" s="191">
        <f>'ICER Interpretation'!C24</f>
        <v>176447.73019345955</v>
      </c>
      <c r="AP4" s="191">
        <f>'ICER Interpretation'!C25</f>
        <v>190749.91307076166</v>
      </c>
      <c r="AQ4" s="192">
        <f>'ICER Interpretation'!C26</f>
        <v>193270.25444354504</v>
      </c>
      <c r="AS4" s="154">
        <v>0</v>
      </c>
      <c r="AT4">
        <v>114011.3</v>
      </c>
      <c r="AU4">
        <v>114011.3</v>
      </c>
      <c r="AV4">
        <v>113958.3</v>
      </c>
      <c r="AW4" s="22">
        <v>113320.49774000001</v>
      </c>
      <c r="AY4" s="154">
        <v>0</v>
      </c>
      <c r="AZ4">
        <v>228022.6</v>
      </c>
      <c r="BA4">
        <v>228022.6</v>
      </c>
      <c r="BB4">
        <v>227898.23954800001</v>
      </c>
      <c r="BC4">
        <v>227969.6</v>
      </c>
      <c r="BD4" s="22">
        <v>227308.99548000001</v>
      </c>
      <c r="BF4" s="154">
        <v>0</v>
      </c>
      <c r="BG4">
        <v>342033.9</v>
      </c>
      <c r="BH4">
        <v>342033.9</v>
      </c>
      <c r="BI4">
        <v>341907.25932200003</v>
      </c>
      <c r="BJ4">
        <v>341980.9</v>
      </c>
      <c r="BK4" s="22">
        <v>341297.49322</v>
      </c>
      <c r="BM4" s="154">
        <v>0</v>
      </c>
      <c r="BN4">
        <v>77336.167318479755</v>
      </c>
      <c r="BO4">
        <v>77176.787566665866</v>
      </c>
      <c r="BP4">
        <v>78247.251451866221</v>
      </c>
      <c r="BQ4" s="22">
        <v>49922.75396915467</v>
      </c>
      <c r="BS4" s="154">
        <v>0</v>
      </c>
      <c r="BT4">
        <v>158939.8021186663</v>
      </c>
      <c r="BU4">
        <v>159088.04660855234</v>
      </c>
      <c r="BV4">
        <v>158096.28108886094</v>
      </c>
      <c r="BW4" s="22">
        <v>99845.50793830934</v>
      </c>
      <c r="BY4" s="154">
        <v>0</v>
      </c>
      <c r="BZ4">
        <v>240543.43691885285</v>
      </c>
      <c r="CA4">
        <v>240999.30565043879</v>
      </c>
      <c r="CB4">
        <v>237945.31072585567</v>
      </c>
      <c r="CC4" s="22">
        <v>149768.26190746401</v>
      </c>
      <c r="CE4" s="154">
        <v>0</v>
      </c>
      <c r="CF4">
        <v>51671.175958387648</v>
      </c>
      <c r="CG4">
        <v>52000.909653351511</v>
      </c>
      <c r="CH4">
        <v>49810.617226700233</v>
      </c>
      <c r="CI4" s="22">
        <v>26024.556140576031</v>
      </c>
      <c r="CK4" s="154">
        <v>0</v>
      </c>
      <c r="CL4">
        <v>107403.73442691014</v>
      </c>
      <c r="CM4">
        <v>108610.1251426363</v>
      </c>
      <c r="CN4">
        <v>100564.05145067742</v>
      </c>
      <c r="CO4" s="22">
        <v>52049.112281152062</v>
      </c>
      <c r="CQ4" s="154">
        <v>0</v>
      </c>
      <c r="CR4">
        <v>163136.29289543265</v>
      </c>
      <c r="CS4">
        <v>165219.34063192111</v>
      </c>
      <c r="CT4">
        <v>151317.48567465463</v>
      </c>
      <c r="CU4" s="22">
        <v>78073.668421728085</v>
      </c>
      <c r="CW4" s="154">
        <v>0</v>
      </c>
      <c r="CX4">
        <v>51698.9404915259</v>
      </c>
      <c r="CY4">
        <v>52033.573809984729</v>
      </c>
      <c r="CZ4">
        <v>49810.617226700233</v>
      </c>
      <c r="DA4" s="22">
        <v>26024.556140576031</v>
      </c>
      <c r="DC4" s="154">
        <v>0</v>
      </c>
      <c r="DD4" s="125">
        <v>107462.16627971786</v>
      </c>
      <c r="DE4" s="125">
        <v>108678.86849888066</v>
      </c>
      <c r="DF4" s="125">
        <v>100564.05145067742</v>
      </c>
      <c r="DG4" s="22">
        <v>52049.112281152062</v>
      </c>
      <c r="DI4" s="154">
        <v>0</v>
      </c>
      <c r="DJ4">
        <v>163225.39206790979</v>
      </c>
      <c r="DK4">
        <v>165324.16318777658</v>
      </c>
      <c r="DL4">
        <v>151317.48567465463</v>
      </c>
      <c r="DM4" s="22">
        <v>78073.668421728085</v>
      </c>
      <c r="DO4" s="154">
        <v>0</v>
      </c>
      <c r="DP4">
        <v>51669.709100968568</v>
      </c>
      <c r="DQ4">
        <v>52001.195902310035</v>
      </c>
      <c r="DR4">
        <v>49810.617226700233</v>
      </c>
      <c r="DS4" s="22">
        <v>26024.556140576031</v>
      </c>
      <c r="DU4" s="154">
        <v>0</v>
      </c>
      <c r="DV4">
        <v>107400.69698593151</v>
      </c>
      <c r="DW4">
        <v>108610.57560979987</v>
      </c>
      <c r="DX4">
        <v>100564.05145067742</v>
      </c>
      <c r="DY4" s="22">
        <v>52049.112281152062</v>
      </c>
      <c r="EA4" s="154">
        <v>0</v>
      </c>
      <c r="EB4">
        <v>163131.68487089447</v>
      </c>
      <c r="EC4">
        <v>165219.95531728971</v>
      </c>
      <c r="ED4">
        <v>151317.48567465463</v>
      </c>
      <c r="EE4" s="22">
        <v>78073.668421728085</v>
      </c>
      <c r="EG4" s="154">
        <v>0</v>
      </c>
      <c r="EH4">
        <v>51852.500857765779</v>
      </c>
      <c r="EI4">
        <v>52214.233064384585</v>
      </c>
      <c r="EJ4">
        <v>49810.617226700233</v>
      </c>
      <c r="EK4" s="22">
        <v>26024.556140576031</v>
      </c>
      <c r="EM4" s="154">
        <v>0</v>
      </c>
      <c r="EN4">
        <v>107768.6284022077</v>
      </c>
      <c r="EO4">
        <v>109039.41217239812</v>
      </c>
      <c r="EP4">
        <v>100564.05145067742</v>
      </c>
      <c r="EQ4" s="22">
        <v>52049.112281152062</v>
      </c>
      <c r="ES4" s="154">
        <v>0</v>
      </c>
      <c r="ET4">
        <v>163684.75594664962</v>
      </c>
      <c r="EU4">
        <v>165864.59128041167</v>
      </c>
      <c r="EV4">
        <v>151317.48567465463</v>
      </c>
      <c r="EW4" s="22">
        <v>78073.668421728085</v>
      </c>
      <c r="EY4" s="154">
        <v>0</v>
      </c>
      <c r="EZ4">
        <v>112990.6170003044</v>
      </c>
      <c r="FA4">
        <v>115182.92817015894</v>
      </c>
      <c r="FB4">
        <v>100564.05145067742</v>
      </c>
      <c r="FC4" s="22">
        <v>52049.112281152062</v>
      </c>
      <c r="FE4" s="154">
        <v>0</v>
      </c>
      <c r="FF4">
        <v>54439.556282132871</v>
      </c>
      <c r="FG4">
        <v>55257.827681287054</v>
      </c>
      <c r="FH4">
        <v>49810.617226700233</v>
      </c>
      <c r="FI4" s="22">
        <v>26024.556140576031</v>
      </c>
      <c r="FK4" s="154">
        <v>0</v>
      </c>
      <c r="FL4">
        <v>171541.6777184759</v>
      </c>
      <c r="FM4">
        <v>175108.0286590308</v>
      </c>
      <c r="FN4">
        <v>151317.48567465463</v>
      </c>
      <c r="FO4" s="22">
        <v>78073.668421728085</v>
      </c>
      <c r="FQ4" s="154">
        <v>0</v>
      </c>
      <c r="FR4">
        <v>51701.792113339325</v>
      </c>
      <c r="FS4">
        <v>52036.928659177</v>
      </c>
      <c r="FT4">
        <v>49810.617226700233</v>
      </c>
      <c r="FU4" s="22">
        <v>26024.556140576031</v>
      </c>
      <c r="FW4" s="154">
        <v>0</v>
      </c>
      <c r="FX4">
        <v>107255.32323567149</v>
      </c>
      <c r="FY4">
        <v>108435.52374117904</v>
      </c>
      <c r="FZ4">
        <v>100564.05145067742</v>
      </c>
      <c r="GA4" s="22">
        <v>52049.112281152062</v>
      </c>
      <c r="GC4" s="154">
        <v>0</v>
      </c>
      <c r="GD4">
        <v>162808.85435800365</v>
      </c>
      <c r="GE4">
        <v>164834.11882318108</v>
      </c>
      <c r="GF4">
        <v>151317.48567465463</v>
      </c>
      <c r="GG4" s="22">
        <v>78073.668421728085</v>
      </c>
      <c r="GI4" s="154">
        <v>0</v>
      </c>
      <c r="GJ4">
        <v>51669.481078430726</v>
      </c>
      <c r="GK4">
        <v>49068.593757461102</v>
      </c>
      <c r="GL4">
        <v>49810.617226700233</v>
      </c>
      <c r="GM4" s="22">
        <v>26024.556140576031</v>
      </c>
      <c r="GO4" s="154">
        <v>0</v>
      </c>
      <c r="GP4">
        <v>107400.24094085583</v>
      </c>
      <c r="GQ4">
        <v>99993.6912020296</v>
      </c>
      <c r="GR4">
        <v>100564.05145067742</v>
      </c>
      <c r="GS4" s="22">
        <v>52049.112281152062</v>
      </c>
      <c r="GU4" s="154">
        <v>0</v>
      </c>
      <c r="GV4">
        <v>163131.00080328091</v>
      </c>
      <c r="GW4">
        <v>150918.78864659811</v>
      </c>
      <c r="GX4">
        <v>151317.48567465463</v>
      </c>
      <c r="GY4" s="22">
        <v>78073.668421728085</v>
      </c>
      <c r="HA4" s="154">
        <v>5000</v>
      </c>
      <c r="HB4">
        <v>23804.101147218174</v>
      </c>
      <c r="HC4">
        <v>23695.365935875889</v>
      </c>
      <c r="HD4">
        <v>24433.900114711643</v>
      </c>
      <c r="HE4" s="22">
        <v>13012.278070288015</v>
      </c>
      <c r="HG4" s="154">
        <v>0</v>
      </c>
      <c r="HH4">
        <v>60598.98803085988</v>
      </c>
      <c r="HI4">
        <v>61079.254035825208</v>
      </c>
      <c r="HJ4">
        <v>57881.983002723056</v>
      </c>
      <c r="HK4" s="22">
        <v>30580.999999999996</v>
      </c>
      <c r="HM4" s="154">
        <v>0</v>
      </c>
      <c r="HN4">
        <v>125259.25484571414</v>
      </c>
      <c r="HO4">
        <v>126766.69187683021</v>
      </c>
      <c r="HP4">
        <v>116706.78300272307</v>
      </c>
      <c r="HQ4" s="22">
        <v>61161.999999999993</v>
      </c>
      <c r="HS4" s="154">
        <v>0</v>
      </c>
      <c r="HT4">
        <v>189919.5216605684</v>
      </c>
      <c r="HU4">
        <v>192454.1297178352</v>
      </c>
      <c r="HV4">
        <v>175531.58300272308</v>
      </c>
      <c r="HW4" s="22">
        <v>91742.999999999985</v>
      </c>
      <c r="HY4" s="154">
        <v>0</v>
      </c>
      <c r="HZ4">
        <v>51537.155646250852</v>
      </c>
      <c r="IA4">
        <v>51863.794521906391</v>
      </c>
      <c r="IB4">
        <v>49694.134223977184</v>
      </c>
      <c r="IC4" s="22">
        <v>26024.556140576031</v>
      </c>
      <c r="IE4" s="154">
        <v>0</v>
      </c>
      <c r="IF4">
        <v>107267.91550867596</v>
      </c>
      <c r="IG4">
        <v>108470.89400401778</v>
      </c>
      <c r="IH4">
        <v>100447.56844795437</v>
      </c>
      <c r="II4" s="22">
        <v>52049.112281152062</v>
      </c>
      <c r="IK4" s="154">
        <v>0</v>
      </c>
      <c r="IL4">
        <v>162998.67537110104</v>
      </c>
      <c r="IM4">
        <v>165077.99348612921</v>
      </c>
      <c r="IN4">
        <v>151201.00267193158</v>
      </c>
      <c r="IO4" s="22">
        <v>78073.668421728085</v>
      </c>
    </row>
    <row r="5" spans="3:249" x14ac:dyDescent="0.2">
      <c r="C5" s="23">
        <v>0</v>
      </c>
      <c r="D5" s="125">
        <f t="dataTable" ref="D5:G55" dt2D="0" dtr="0" r1="D59"/>
        <v>11822.988479827372</v>
      </c>
      <c r="E5" s="125">
        <v>21068.970664262393</v>
      </c>
      <c r="F5" s="125">
        <v>23010.786187367692</v>
      </c>
      <c r="G5" s="22">
        <v>28303.549741055696</v>
      </c>
      <c r="H5" s="137"/>
      <c r="I5" s="23">
        <v>0</v>
      </c>
      <c r="J5" s="125">
        <f t="dataTable" ref="J5:M55" dt2D="0" dtr="0" r1="D59"/>
        <v>26024.556140576031</v>
      </c>
      <c r="K5" s="125">
        <v>49564.144633516553</v>
      </c>
      <c r="L5" s="125">
        <v>51423.0134146989</v>
      </c>
      <c r="M5" s="22">
        <v>51752.505738266533</v>
      </c>
      <c r="O5" s="23">
        <v>0</v>
      </c>
      <c r="P5" s="125">
        <f t="dataTable" ref="P5:S55" dt2D="0" dtr="0" r1="D59"/>
        <v>39036.834210864043</v>
      </c>
      <c r="Q5" s="125">
        <v>74940.861745505157</v>
      </c>
      <c r="R5" s="125">
        <v>79288.393345911434</v>
      </c>
      <c r="S5" s="22">
        <v>80056.05547932224</v>
      </c>
      <c r="U5" s="23">
        <v>0</v>
      </c>
      <c r="V5" s="125">
        <f t="dataTable" ref="V5:Y55" dt2D="0" dtr="0" r1="D59"/>
        <v>52049.112281152062</v>
      </c>
      <c r="W5" s="125">
        <v>100317.57885749375</v>
      </c>
      <c r="X5" s="125">
        <v>107153.773277124</v>
      </c>
      <c r="Y5" s="22">
        <v>108359.60522037793</v>
      </c>
      <c r="AA5" s="23">
        <v>0</v>
      </c>
      <c r="AB5" s="125">
        <f t="dataTable" ref="AB5:AE55" dt2D="0" dtr="0" r1="D59"/>
        <v>65061.390351440074</v>
      </c>
      <c r="AC5" s="125">
        <v>125694.29596948235</v>
      </c>
      <c r="AD5" s="125">
        <v>135019.15320833653</v>
      </c>
      <c r="AE5" s="22">
        <v>136663.15496143364</v>
      </c>
      <c r="AG5" s="23">
        <v>0</v>
      </c>
      <c r="AH5" s="125">
        <f t="dataTable" ref="AH5:AK55" dt2D="0" dtr="0" r1="D59"/>
        <v>78073.668421728085</v>
      </c>
      <c r="AI5" s="125">
        <v>151071.01308147094</v>
      </c>
      <c r="AJ5" s="125">
        <v>162884.53313954908</v>
      </c>
      <c r="AK5" s="22">
        <v>164966.70470248934</v>
      </c>
      <c r="AM5" s="23">
        <v>0</v>
      </c>
      <c r="AN5" s="125">
        <f t="dataTable" ref="AN5:AQ55" dt2D="0" dtr="0" r1="D59"/>
        <v>91085.946492016097</v>
      </c>
      <c r="AO5" s="125">
        <v>176447.73019345955</v>
      </c>
      <c r="AP5" s="125">
        <v>190749.91307076166</v>
      </c>
      <c r="AQ5" s="22">
        <v>193270.25444354504</v>
      </c>
      <c r="AS5" s="154">
        <v>0.02</v>
      </c>
      <c r="AT5">
        <v>112056.04888888801</v>
      </c>
      <c r="AU5">
        <v>112584.618290399</v>
      </c>
      <c r="AV5">
        <v>112581.78224687401</v>
      </c>
      <c r="AW5" s="22">
        <v>111957.79603207399</v>
      </c>
      <c r="AY5" s="154">
        <v>0.02</v>
      </c>
      <c r="AZ5">
        <v>224112.097777777</v>
      </c>
      <c r="BA5">
        <v>225190.18807039899</v>
      </c>
      <c r="BB5">
        <v>225220.506481469</v>
      </c>
      <c r="BC5">
        <v>225317.48413396301</v>
      </c>
      <c r="BD5" s="22">
        <v>224671.151704363</v>
      </c>
      <c r="BF5" s="154">
        <v>0.02</v>
      </c>
      <c r="BG5">
        <v>336168.14666666603</v>
      </c>
      <c r="BH5">
        <v>337795.75785039901</v>
      </c>
      <c r="BI5">
        <v>337934.45393101498</v>
      </c>
      <c r="BJ5">
        <v>338053.18602105201</v>
      </c>
      <c r="BK5" s="22">
        <v>337384.50737665198</v>
      </c>
      <c r="BM5" s="154">
        <v>0.02</v>
      </c>
      <c r="BN5">
        <v>76765.796513145324</v>
      </c>
      <c r="BO5">
        <v>76617.279302449548</v>
      </c>
      <c r="BP5">
        <v>77615.326246862518</v>
      </c>
      <c r="BQ5" s="22">
        <v>49391.682906297356</v>
      </c>
      <c r="BS5" s="154">
        <v>0.02</v>
      </c>
      <c r="BT5">
        <v>157794.47853693718</v>
      </c>
      <c r="BU5">
        <v>157966.22368745212</v>
      </c>
      <c r="BV5">
        <v>156817.78709690127</v>
      </c>
      <c r="BW5" s="22">
        <v>98783.365812594711</v>
      </c>
      <c r="BY5" s="154">
        <v>0.02</v>
      </c>
      <c r="BZ5">
        <v>238823.16056072904</v>
      </c>
      <c r="CA5">
        <v>239315.16807245469</v>
      </c>
      <c r="CB5">
        <v>236020.24794694004</v>
      </c>
      <c r="CC5" s="22">
        <v>148175.04871889207</v>
      </c>
      <c r="CE5" s="154">
        <v>0.05</v>
      </c>
      <c r="CF5">
        <v>51388.695965565654</v>
      </c>
      <c r="CG5">
        <v>51668.580250031489</v>
      </c>
      <c r="CH5">
        <v>49810.617226700233</v>
      </c>
      <c r="CI5" s="22">
        <v>26024.556140576031</v>
      </c>
      <c r="CK5" s="154">
        <v>0.05</v>
      </c>
      <c r="CL5">
        <v>106821.48675118943</v>
      </c>
      <c r="CM5">
        <v>107925.1278770825</v>
      </c>
      <c r="CN5">
        <v>100564.05145067742</v>
      </c>
      <c r="CO5" s="22">
        <v>52049.112281152062</v>
      </c>
      <c r="CQ5" s="154">
        <v>0.05</v>
      </c>
      <c r="CR5">
        <v>162254.27753681323</v>
      </c>
      <c r="CS5">
        <v>164181.67550413351</v>
      </c>
      <c r="CT5">
        <v>151317.48567465463</v>
      </c>
      <c r="CU5" s="22">
        <v>78073.668421728085</v>
      </c>
      <c r="CW5" s="154">
        <v>0.05</v>
      </c>
      <c r="CX5">
        <v>50225.969836767414</v>
      </c>
      <c r="CY5">
        <v>50300.667157327698</v>
      </c>
      <c r="CZ5">
        <v>49810.617226700233</v>
      </c>
      <c r="DA5" s="22">
        <v>26024.556140576031</v>
      </c>
      <c r="DC5" s="154">
        <v>0.05</v>
      </c>
      <c r="DD5" s="125">
        <v>104365.89933661686</v>
      </c>
      <c r="DE5" s="125">
        <v>105036.20150699712</v>
      </c>
      <c r="DF5" s="125">
        <v>100564.05145067742</v>
      </c>
      <c r="DG5" s="22">
        <v>52049.112281152062</v>
      </c>
      <c r="DI5" s="154">
        <v>0.05</v>
      </c>
      <c r="DJ5">
        <v>158505.82883646627</v>
      </c>
      <c r="DK5">
        <v>159771.73585666655</v>
      </c>
      <c r="DL5">
        <v>151317.48567465463</v>
      </c>
      <c r="DM5" s="22">
        <v>78073.668421728085</v>
      </c>
      <c r="DO5" s="154">
        <v>0.05</v>
      </c>
      <c r="DP5">
        <v>51612.703466507352</v>
      </c>
      <c r="DQ5">
        <v>51431.139557697934</v>
      </c>
      <c r="DR5">
        <v>49810.617226700233</v>
      </c>
      <c r="DS5" s="22">
        <v>26024.556140576031</v>
      </c>
      <c r="DU5" s="154">
        <v>0.05</v>
      </c>
      <c r="DV5">
        <v>107286.68571700908</v>
      </c>
      <c r="DW5">
        <v>107470.46292057566</v>
      </c>
      <c r="DX5">
        <v>100564.05145067742</v>
      </c>
      <c r="DY5" s="22">
        <v>52049.112281152062</v>
      </c>
      <c r="EA5" s="154">
        <v>0.05</v>
      </c>
      <c r="EB5">
        <v>162960.66796751082</v>
      </c>
      <c r="EC5">
        <v>163509.7862834534</v>
      </c>
      <c r="ED5">
        <v>151317.48567465463</v>
      </c>
      <c r="EE5" s="22">
        <v>78073.668421728085</v>
      </c>
      <c r="EG5" s="154">
        <v>0.05</v>
      </c>
      <c r="EH5">
        <v>51547.467892207365</v>
      </c>
      <c r="EI5">
        <v>51855.370751962924</v>
      </c>
      <c r="EJ5">
        <v>49810.617226700233</v>
      </c>
      <c r="EK5" s="22">
        <v>26024.556140576031</v>
      </c>
      <c r="EM5" s="154">
        <v>0.05</v>
      </c>
      <c r="EN5">
        <v>107154.64929995459</v>
      </c>
      <c r="EO5">
        <v>108317.08381680623</v>
      </c>
      <c r="EP5">
        <v>100564.05145067742</v>
      </c>
      <c r="EQ5" s="22">
        <v>52049.112281152062</v>
      </c>
      <c r="ES5" s="154">
        <v>0.05</v>
      </c>
      <c r="ET5">
        <v>162761.83070770183</v>
      </c>
      <c r="EU5">
        <v>164778.79688164956</v>
      </c>
      <c r="EV5">
        <v>151317.48567465463</v>
      </c>
      <c r="EW5" s="22">
        <v>78073.668421728085</v>
      </c>
      <c r="EY5" s="154">
        <v>0.05</v>
      </c>
      <c r="EZ5">
        <v>109496.63196314906</v>
      </c>
      <c r="FA5">
        <v>111072.35753821148</v>
      </c>
      <c r="FB5">
        <v>100564.05145067742</v>
      </c>
      <c r="FC5" s="22">
        <v>52049.112281152062</v>
      </c>
      <c r="FE5" s="154">
        <v>0.05</v>
      </c>
      <c r="FF5">
        <v>52708.259279819038</v>
      </c>
      <c r="FG5">
        <v>53221.0076785649</v>
      </c>
      <c r="FH5">
        <v>49810.617226700233</v>
      </c>
      <c r="FI5" s="22">
        <v>26024.556140576031</v>
      </c>
      <c r="FK5" s="154">
        <v>0.05</v>
      </c>
      <c r="FL5">
        <v>166285.00464647909</v>
      </c>
      <c r="FM5">
        <v>168923.70739785809</v>
      </c>
      <c r="FN5">
        <v>151317.48567465463</v>
      </c>
      <c r="FO5" s="22">
        <v>78073.668421728085</v>
      </c>
      <c r="FQ5" s="154">
        <v>0.05</v>
      </c>
      <c r="FR5">
        <v>51701.792113339325</v>
      </c>
      <c r="FS5">
        <v>52036.928659177</v>
      </c>
      <c r="FT5">
        <v>49810.617226700233</v>
      </c>
      <c r="FU5" s="22">
        <v>26024.556140576031</v>
      </c>
      <c r="FW5" s="154">
        <v>0.05</v>
      </c>
      <c r="FX5">
        <v>107255.32323567149</v>
      </c>
      <c r="FY5">
        <v>108435.52374117904</v>
      </c>
      <c r="FZ5">
        <v>100564.05145067742</v>
      </c>
      <c r="GA5" s="22">
        <v>52049.112281152062</v>
      </c>
      <c r="GC5" s="154">
        <v>0.05</v>
      </c>
      <c r="GD5">
        <v>162808.85435800365</v>
      </c>
      <c r="GE5">
        <v>164834.11882318108</v>
      </c>
      <c r="GF5">
        <v>151317.48567465463</v>
      </c>
      <c r="GG5" s="22">
        <v>78073.668421728085</v>
      </c>
      <c r="GI5" s="154">
        <v>0.05</v>
      </c>
      <c r="GJ5">
        <v>51669.481078430726</v>
      </c>
      <c r="GK5">
        <v>49068.593757461102</v>
      </c>
      <c r="GL5">
        <v>49810.617226700233</v>
      </c>
      <c r="GM5" s="22">
        <v>26024.556140576031</v>
      </c>
      <c r="GO5" s="154">
        <v>0.05</v>
      </c>
      <c r="GP5">
        <v>107400.24094085583</v>
      </c>
      <c r="GQ5">
        <v>99993.6912020296</v>
      </c>
      <c r="GR5">
        <v>100564.05145067742</v>
      </c>
      <c r="GS5" s="22">
        <v>52049.112281152062</v>
      </c>
      <c r="GU5" s="154">
        <v>0.05</v>
      </c>
      <c r="GV5">
        <v>163131.00080328091</v>
      </c>
      <c r="GW5">
        <v>150918.78864659811</v>
      </c>
      <c r="GX5">
        <v>151317.48567465463</v>
      </c>
      <c r="GY5" s="22">
        <v>78073.668421728085</v>
      </c>
      <c r="HA5" s="154">
        <v>10000</v>
      </c>
      <c r="HB5">
        <v>51669.481078430726</v>
      </c>
      <c r="HC5">
        <v>51998.915676931589</v>
      </c>
      <c r="HD5">
        <v>49810.617226700233</v>
      </c>
      <c r="HE5" s="22">
        <v>26024.556140576031</v>
      </c>
      <c r="HG5" s="154">
        <v>0.01</v>
      </c>
      <c r="HH5">
        <v>57815.865495242906</v>
      </c>
      <c r="HI5">
        <v>58252.160154605488</v>
      </c>
      <c r="HJ5">
        <v>55349.148857899621</v>
      </c>
      <c r="HK5" s="22">
        <v>29124.470161733876</v>
      </c>
      <c r="HM5" s="154">
        <v>0.01</v>
      </c>
      <c r="HN5">
        <v>119693.00977448019</v>
      </c>
      <c r="HO5">
        <v>121112.50411439077</v>
      </c>
      <c r="HP5">
        <v>111641.1147130762</v>
      </c>
      <c r="HQ5" s="22">
        <v>58248.940323467752</v>
      </c>
      <c r="HS5" s="154">
        <v>0.01</v>
      </c>
      <c r="HT5">
        <v>181570.15405371747</v>
      </c>
      <c r="HU5">
        <v>183972.84807417606</v>
      </c>
      <c r="HV5">
        <v>167933.0805682528</v>
      </c>
      <c r="HW5" s="22">
        <v>87373.410485201632</v>
      </c>
      <c r="HY5" s="154">
        <v>0.01</v>
      </c>
      <c r="HZ5">
        <v>51578.332253091925</v>
      </c>
      <c r="IA5">
        <v>51905.957194005168</v>
      </c>
      <c r="IB5">
        <v>49729.723127691257</v>
      </c>
      <c r="IC5" s="22">
        <v>26024.556140576031</v>
      </c>
      <c r="IE5" s="154">
        <v>0.01</v>
      </c>
      <c r="IF5">
        <v>107309.09211551704</v>
      </c>
      <c r="IG5">
        <v>108513.05667611657</v>
      </c>
      <c r="IH5">
        <v>100483.15735166844</v>
      </c>
      <c r="II5" s="22">
        <v>52049.112281152062</v>
      </c>
      <c r="IK5" s="154">
        <v>0.01</v>
      </c>
      <c r="IL5">
        <v>163039.8519779421</v>
      </c>
      <c r="IM5">
        <v>165120.15615822797</v>
      </c>
      <c r="IN5">
        <v>151236.59157564564</v>
      </c>
      <c r="IO5" s="22">
        <v>78073.668421728085</v>
      </c>
    </row>
    <row r="6" spans="3:249" x14ac:dyDescent="0.2">
      <c r="C6" s="23">
        <v>0.02</v>
      </c>
      <c r="D6" s="125">
        <v>11822.988479827372</v>
      </c>
      <c r="E6" s="125">
        <v>21068.970664262393</v>
      </c>
      <c r="F6" s="125">
        <v>23010.786187367692</v>
      </c>
      <c r="G6" s="22">
        <v>28303.549741055696</v>
      </c>
      <c r="H6" s="137"/>
      <c r="I6" s="23">
        <v>0.02</v>
      </c>
      <c r="J6" s="125">
        <v>26024.556140576031</v>
      </c>
      <c r="K6" s="125">
        <v>49564.144633516553</v>
      </c>
      <c r="L6" s="125">
        <v>51423.0134146989</v>
      </c>
      <c r="M6" s="22">
        <v>51752.505738266533</v>
      </c>
      <c r="O6" s="23">
        <v>0.02</v>
      </c>
      <c r="P6" s="125">
        <v>39036.834210864043</v>
      </c>
      <c r="Q6" s="125">
        <v>74940.861745505157</v>
      </c>
      <c r="R6" s="125">
        <v>79288.393345911434</v>
      </c>
      <c r="S6" s="22">
        <v>80056.05547932224</v>
      </c>
      <c r="U6" s="23">
        <v>0.02</v>
      </c>
      <c r="V6" s="125">
        <v>52049.112281152062</v>
      </c>
      <c r="W6" s="125">
        <v>100317.57885749375</v>
      </c>
      <c r="X6" s="125">
        <v>107153.773277124</v>
      </c>
      <c r="Y6" s="22">
        <v>108359.60522037793</v>
      </c>
      <c r="AA6" s="23">
        <v>0.02</v>
      </c>
      <c r="AB6" s="125">
        <v>65061.390351440074</v>
      </c>
      <c r="AC6" s="125">
        <v>125694.29596948235</v>
      </c>
      <c r="AD6" s="125">
        <v>135019.15320833653</v>
      </c>
      <c r="AE6" s="22">
        <v>136663.15496143364</v>
      </c>
      <c r="AG6" s="23">
        <v>0.02</v>
      </c>
      <c r="AH6" s="125">
        <v>78073.668421728085</v>
      </c>
      <c r="AI6" s="125">
        <v>151071.01308147094</v>
      </c>
      <c r="AJ6" s="125">
        <v>162884.53313954908</v>
      </c>
      <c r="AK6" s="22">
        <v>164966.70470248934</v>
      </c>
      <c r="AM6" s="23">
        <v>0.02</v>
      </c>
      <c r="AN6" s="125">
        <v>91085.946492016097</v>
      </c>
      <c r="AO6" s="125">
        <v>176447.73019345955</v>
      </c>
      <c r="AP6" s="125">
        <v>190749.91307076166</v>
      </c>
      <c r="AQ6" s="22">
        <v>193270.25444354504</v>
      </c>
      <c r="AS6" s="154">
        <v>0.04</v>
      </c>
      <c r="AT6">
        <v>110100.797777777</v>
      </c>
      <c r="AU6">
        <v>111157.9365808</v>
      </c>
      <c r="AV6">
        <v>111205.264493749</v>
      </c>
      <c r="AW6" s="22">
        <v>110595.094324149</v>
      </c>
      <c r="AY6" s="154">
        <v>0.04</v>
      </c>
      <c r="AZ6">
        <v>220201.59555555499</v>
      </c>
      <c r="BA6">
        <v>222357.77614080001</v>
      </c>
      <c r="BB6">
        <v>222542.77341493801</v>
      </c>
      <c r="BC6">
        <v>222665.368267927</v>
      </c>
      <c r="BD6" s="22">
        <v>222033.30792872701</v>
      </c>
      <c r="BF6" s="154">
        <v>0.04</v>
      </c>
      <c r="BG6">
        <v>330302.39333333302</v>
      </c>
      <c r="BH6">
        <v>333557.61570079997</v>
      </c>
      <c r="BI6">
        <v>333961.64854003</v>
      </c>
      <c r="BJ6">
        <v>334125.47204210499</v>
      </c>
      <c r="BK6" s="22">
        <v>333471.52153330599</v>
      </c>
      <c r="BM6" s="154">
        <v>0.04</v>
      </c>
      <c r="BN6">
        <v>76195.425707810922</v>
      </c>
      <c r="BO6">
        <v>76057.771038233244</v>
      </c>
      <c r="BP6">
        <v>76983.40104185883</v>
      </c>
      <c r="BQ6" s="22">
        <v>48860.611843440063</v>
      </c>
      <c r="BS6" s="154">
        <v>0.04</v>
      </c>
      <c r="BT6">
        <v>156649.1549552081</v>
      </c>
      <c r="BU6">
        <v>156844.40076635193</v>
      </c>
      <c r="BV6">
        <v>155539.29310494167</v>
      </c>
      <c r="BW6" s="22">
        <v>97721.223686880126</v>
      </c>
      <c r="BY6" s="154">
        <v>0.04</v>
      </c>
      <c r="BZ6">
        <v>237102.88420260526</v>
      </c>
      <c r="CA6">
        <v>237631.03049447061</v>
      </c>
      <c r="CB6">
        <v>234095.1851680245</v>
      </c>
      <c r="CC6" s="22">
        <v>146581.83553032018</v>
      </c>
      <c r="CE6" s="154">
        <v>0.1</v>
      </c>
      <c r="CF6">
        <v>51106.215972743637</v>
      </c>
      <c r="CG6">
        <v>51336.250846711489</v>
      </c>
      <c r="CH6">
        <v>49810.617226700233</v>
      </c>
      <c r="CI6" s="22">
        <v>26024.556140576031</v>
      </c>
      <c r="CK6" s="154">
        <v>0.1</v>
      </c>
      <c r="CL6">
        <v>106239.23907546869</v>
      </c>
      <c r="CM6">
        <v>107240.13061152872</v>
      </c>
      <c r="CN6">
        <v>100564.05145067742</v>
      </c>
      <c r="CO6" s="22">
        <v>52049.112281152062</v>
      </c>
      <c r="CQ6" s="154">
        <v>0.1</v>
      </c>
      <c r="CR6">
        <v>161372.26217819378</v>
      </c>
      <c r="CS6">
        <v>163144.01037634595</v>
      </c>
      <c r="CT6">
        <v>151317.48567465463</v>
      </c>
      <c r="CU6" s="22">
        <v>78073.668421728085</v>
      </c>
      <c r="CW6" s="154">
        <v>0.1</v>
      </c>
      <c r="CX6">
        <v>48752.999182008913</v>
      </c>
      <c r="CY6">
        <v>48567.760504670645</v>
      </c>
      <c r="CZ6">
        <v>49810.617226700233</v>
      </c>
      <c r="DA6" s="22">
        <v>26024.556140576031</v>
      </c>
      <c r="DC6" s="154">
        <v>0.1</v>
      </c>
      <c r="DD6" s="125">
        <v>101269.6323935158</v>
      </c>
      <c r="DE6" s="125">
        <v>101393.53451511357</v>
      </c>
      <c r="DF6" s="125">
        <v>100564.05145067742</v>
      </c>
      <c r="DG6" s="22">
        <v>52049.112281152062</v>
      </c>
      <c r="DI6" s="154">
        <v>0.1</v>
      </c>
      <c r="DJ6">
        <v>153786.26560502272</v>
      </c>
      <c r="DK6">
        <v>154219.30852555649</v>
      </c>
      <c r="DL6">
        <v>151317.48567465463</v>
      </c>
      <c r="DM6" s="22">
        <v>78073.668421728085</v>
      </c>
      <c r="DO6" s="154">
        <v>0.1</v>
      </c>
      <c r="DP6">
        <v>51555.697832046142</v>
      </c>
      <c r="DQ6">
        <v>50861.083213085833</v>
      </c>
      <c r="DR6">
        <v>49810.617226700233</v>
      </c>
      <c r="DS6" s="22">
        <v>26024.556140576031</v>
      </c>
      <c r="DU6" s="154">
        <v>0.1</v>
      </c>
      <c r="DV6">
        <v>107172.67444808666</v>
      </c>
      <c r="DW6">
        <v>106330.35023135146</v>
      </c>
      <c r="DX6">
        <v>100564.05145067742</v>
      </c>
      <c r="DY6" s="22">
        <v>52049.112281152062</v>
      </c>
      <c r="EA6" s="154">
        <v>0.1</v>
      </c>
      <c r="EB6">
        <v>162789.65106412719</v>
      </c>
      <c r="EC6">
        <v>161799.61724961712</v>
      </c>
      <c r="ED6">
        <v>151317.48567465463</v>
      </c>
      <c r="EE6" s="22">
        <v>78073.668421728085</v>
      </c>
      <c r="EG6" s="154">
        <v>0.1</v>
      </c>
      <c r="EH6">
        <v>51701.792113339325</v>
      </c>
      <c r="EI6">
        <v>52036.928659177</v>
      </c>
      <c r="EJ6">
        <v>49810.617226700233</v>
      </c>
      <c r="EK6" s="22">
        <v>26024.556140576031</v>
      </c>
      <c r="EM6" s="154">
        <v>0.1</v>
      </c>
      <c r="EN6">
        <v>107255.32323567149</v>
      </c>
      <c r="EO6">
        <v>108435.52374117904</v>
      </c>
      <c r="EP6">
        <v>100564.05145067742</v>
      </c>
      <c r="EQ6" s="22">
        <v>52049.112281152062</v>
      </c>
      <c r="ES6" s="154">
        <v>0.1</v>
      </c>
      <c r="ET6">
        <v>162808.85435800365</v>
      </c>
      <c r="EU6">
        <v>164834.11882318108</v>
      </c>
      <c r="EV6">
        <v>151317.48567465463</v>
      </c>
      <c r="EW6" s="22">
        <v>78073.668421728085</v>
      </c>
      <c r="EY6" s="154">
        <v>0.1</v>
      </c>
      <c r="EZ6">
        <v>106002.64692599371</v>
      </c>
      <c r="FA6">
        <v>106961.78690626402</v>
      </c>
      <c r="FB6">
        <v>100564.05145067742</v>
      </c>
      <c r="FC6" s="22">
        <v>52049.112281152062</v>
      </c>
      <c r="FE6" s="154">
        <v>0.1</v>
      </c>
      <c r="FF6">
        <v>50976.962277505198</v>
      </c>
      <c r="FG6">
        <v>51184.187675842732</v>
      </c>
      <c r="FH6">
        <v>49810.617226700233</v>
      </c>
      <c r="FI6" s="22">
        <v>26024.556140576031</v>
      </c>
      <c r="FK6" s="154">
        <v>0.1</v>
      </c>
      <c r="FL6">
        <v>161028.33157448223</v>
      </c>
      <c r="FM6">
        <v>162739.38613668529</v>
      </c>
      <c r="FN6">
        <v>151317.48567465463</v>
      </c>
      <c r="FO6" s="22">
        <v>78073.668421728085</v>
      </c>
      <c r="FQ6" s="154">
        <v>0.1</v>
      </c>
      <c r="FR6">
        <v>51701.792113339325</v>
      </c>
      <c r="FS6">
        <v>52036.928659177</v>
      </c>
      <c r="FT6">
        <v>49810.617226700233</v>
      </c>
      <c r="FU6" s="22">
        <v>26024.556140576031</v>
      </c>
      <c r="FW6" s="154">
        <v>0.1</v>
      </c>
      <c r="FX6">
        <v>107255.32323567149</v>
      </c>
      <c r="FY6">
        <v>108435.52374117904</v>
      </c>
      <c r="FZ6">
        <v>100564.05145067742</v>
      </c>
      <c r="GA6" s="22">
        <v>52049.112281152062</v>
      </c>
      <c r="GC6" s="154">
        <v>0.1</v>
      </c>
      <c r="GD6">
        <v>162808.85435800365</v>
      </c>
      <c r="GE6">
        <v>164834.11882318108</v>
      </c>
      <c r="GF6">
        <v>151317.48567465463</v>
      </c>
      <c r="GG6" s="22">
        <v>78073.668421728085</v>
      </c>
      <c r="GI6" s="154">
        <v>0.1</v>
      </c>
      <c r="GJ6">
        <v>51669.481078430726</v>
      </c>
      <c r="GK6">
        <v>49068.593757461102</v>
      </c>
      <c r="GL6">
        <v>49810.617226700233</v>
      </c>
      <c r="GM6" s="22">
        <v>26024.556140576031</v>
      </c>
      <c r="GO6" s="154">
        <v>0.1</v>
      </c>
      <c r="GP6">
        <v>107400.24094085583</v>
      </c>
      <c r="GQ6">
        <v>99993.6912020296</v>
      </c>
      <c r="GR6">
        <v>100564.05145067742</v>
      </c>
      <c r="GS6" s="22">
        <v>52049.112281152062</v>
      </c>
      <c r="GU6" s="154">
        <v>0.1</v>
      </c>
      <c r="GV6">
        <v>163131.00080328091</v>
      </c>
      <c r="GW6">
        <v>150918.78864659811</v>
      </c>
      <c r="GX6">
        <v>151317.48567465463</v>
      </c>
      <c r="GY6" s="22">
        <v>78073.668421728085</v>
      </c>
      <c r="HA6" s="154">
        <v>15000</v>
      </c>
      <c r="HB6">
        <v>79534.861009643268</v>
      </c>
      <c r="HC6">
        <v>80302.465417987289</v>
      </c>
      <c r="HD6">
        <v>75187.33433868883</v>
      </c>
      <c r="HE6" s="22">
        <v>39036.834210864043</v>
      </c>
      <c r="HG6" s="154">
        <v>0.02</v>
      </c>
      <c r="HH6">
        <v>55227.202434900799</v>
      </c>
      <c r="HI6">
        <v>55620.11494244021</v>
      </c>
      <c r="HJ6">
        <v>53007.318365194747</v>
      </c>
      <c r="HK6" s="22">
        <v>27799.198542074242</v>
      </c>
      <c r="HM6" s="154">
        <v>0.02</v>
      </c>
      <c r="HN6">
        <v>114515.68365379598</v>
      </c>
      <c r="HO6">
        <v>115848.41369006022</v>
      </c>
      <c r="HP6">
        <v>106957.45372766645</v>
      </c>
      <c r="HQ6" s="22">
        <v>55598.397084148484</v>
      </c>
      <c r="HS6" s="154">
        <v>0.02</v>
      </c>
      <c r="HT6">
        <v>173804.16487269115</v>
      </c>
      <c r="HU6">
        <v>176076.71243768022</v>
      </c>
      <c r="HV6">
        <v>160907.58909013815</v>
      </c>
      <c r="HW6" s="22">
        <v>83397.595626222726</v>
      </c>
      <c r="HY6" s="154">
        <v>0.02</v>
      </c>
      <c r="HZ6">
        <v>51616.694240046294</v>
      </c>
      <c r="IA6">
        <v>51945.146219034737</v>
      </c>
      <c r="IB6">
        <v>49763.398565552845</v>
      </c>
      <c r="IC6" s="22">
        <v>26024.556140576031</v>
      </c>
      <c r="IE6" s="154">
        <v>0.02</v>
      </c>
      <c r="IF6">
        <v>107347.4541024714</v>
      </c>
      <c r="IG6">
        <v>108552.24570114612</v>
      </c>
      <c r="IH6">
        <v>100516.83278953003</v>
      </c>
      <c r="II6" s="22">
        <v>52049.112281152062</v>
      </c>
      <c r="IK6" s="154">
        <v>0.02</v>
      </c>
      <c r="IL6">
        <v>163078.21396489648</v>
      </c>
      <c r="IM6">
        <v>165159.34518325754</v>
      </c>
      <c r="IN6">
        <v>151270.26701350723</v>
      </c>
      <c r="IO6" s="22">
        <v>78073.668421728085</v>
      </c>
    </row>
    <row r="7" spans="3:249" x14ac:dyDescent="0.2">
      <c r="C7" s="23">
        <v>0.04</v>
      </c>
      <c r="D7" s="125">
        <v>11822.988479827372</v>
      </c>
      <c r="E7" s="125">
        <v>21068.970664262393</v>
      </c>
      <c r="F7" s="125">
        <v>23010.786187367692</v>
      </c>
      <c r="G7" s="22">
        <v>28303.549741055696</v>
      </c>
      <c r="H7" s="137"/>
      <c r="I7" s="23">
        <v>0.04</v>
      </c>
      <c r="J7" s="125">
        <v>26024.556140576031</v>
      </c>
      <c r="K7" s="125">
        <v>49564.144633516553</v>
      </c>
      <c r="L7" s="125">
        <v>51423.0134146989</v>
      </c>
      <c r="M7" s="22">
        <v>51752.505738266533</v>
      </c>
      <c r="O7" s="23">
        <v>0.04</v>
      </c>
      <c r="P7" s="125">
        <v>39036.834210864043</v>
      </c>
      <c r="Q7" s="125">
        <v>74940.861745505157</v>
      </c>
      <c r="R7" s="125">
        <v>79288.393345911434</v>
      </c>
      <c r="S7" s="22">
        <v>80056.05547932224</v>
      </c>
      <c r="U7" s="23">
        <v>0.04</v>
      </c>
      <c r="V7" s="125">
        <v>52049.112281152062</v>
      </c>
      <c r="W7" s="125">
        <v>100317.57885749375</v>
      </c>
      <c r="X7" s="125">
        <v>107153.773277124</v>
      </c>
      <c r="Y7" s="22">
        <v>108359.60522037793</v>
      </c>
      <c r="AA7" s="23">
        <v>0.04</v>
      </c>
      <c r="AB7" s="125">
        <v>65061.390351440074</v>
      </c>
      <c r="AC7" s="125">
        <v>125694.29596948235</v>
      </c>
      <c r="AD7" s="125">
        <v>135019.15320833653</v>
      </c>
      <c r="AE7" s="22">
        <v>136663.15496143364</v>
      </c>
      <c r="AG7" s="23">
        <v>0.04</v>
      </c>
      <c r="AH7" s="125">
        <v>78073.668421728085</v>
      </c>
      <c r="AI7" s="125">
        <v>151071.01308147094</v>
      </c>
      <c r="AJ7" s="125">
        <v>162884.53313954908</v>
      </c>
      <c r="AK7" s="22">
        <v>164966.70470248934</v>
      </c>
      <c r="AM7" s="23">
        <v>0.04</v>
      </c>
      <c r="AN7" s="125">
        <v>91085.946492016097</v>
      </c>
      <c r="AO7" s="125">
        <v>176447.73019345955</v>
      </c>
      <c r="AP7" s="125">
        <v>190749.91307076166</v>
      </c>
      <c r="AQ7" s="22">
        <v>193270.25444354504</v>
      </c>
      <c r="AS7" s="154">
        <v>0.06</v>
      </c>
      <c r="AT7">
        <v>108145.54666666601</v>
      </c>
      <c r="AU7">
        <v>109731.25487119899</v>
      </c>
      <c r="AV7">
        <v>109828.746740624</v>
      </c>
      <c r="AW7" s="22">
        <v>109232.39261622399</v>
      </c>
      <c r="AY7" s="154">
        <v>0.06</v>
      </c>
      <c r="AZ7">
        <v>216291.093333333</v>
      </c>
      <c r="BA7">
        <v>219525.36421119899</v>
      </c>
      <c r="BB7">
        <v>219865.04034840799</v>
      </c>
      <c r="BC7">
        <v>220013.25240189099</v>
      </c>
      <c r="BD7" s="22">
        <v>219395.46415309099</v>
      </c>
      <c r="BF7" s="154">
        <v>0.06</v>
      </c>
      <c r="BG7">
        <v>324436.63999999902</v>
      </c>
      <c r="BH7">
        <v>329319.47355119901</v>
      </c>
      <c r="BI7">
        <v>329988.84314904502</v>
      </c>
      <c r="BJ7">
        <v>330197.75806315802</v>
      </c>
      <c r="BK7" s="22">
        <v>329558.53568995802</v>
      </c>
      <c r="BM7" s="154">
        <v>0.06</v>
      </c>
      <c r="BN7">
        <v>75625.054902476491</v>
      </c>
      <c r="BO7">
        <v>75498.262774016897</v>
      </c>
      <c r="BP7">
        <v>76351.475836855141</v>
      </c>
      <c r="BQ7" s="22">
        <v>48329.540780582756</v>
      </c>
      <c r="BS7" s="154">
        <v>0.06</v>
      </c>
      <c r="BT7">
        <v>155503.83137347893</v>
      </c>
      <c r="BU7">
        <v>155722.57784525168</v>
      </c>
      <c r="BV7">
        <v>154260.79911298203</v>
      </c>
      <c r="BW7" s="22">
        <v>96659.081561165513</v>
      </c>
      <c r="BY7" s="154">
        <v>0.06</v>
      </c>
      <c r="BZ7">
        <v>235382.60784448136</v>
      </c>
      <c r="CA7">
        <v>235946.89291648645</v>
      </c>
      <c r="CB7">
        <v>232170.1223891089</v>
      </c>
      <c r="CC7" s="22">
        <v>144988.62234174827</v>
      </c>
      <c r="CE7" s="154">
        <v>0.15</v>
      </c>
      <c r="CF7">
        <v>50823.735979921643</v>
      </c>
      <c r="CG7">
        <v>51003.921443391482</v>
      </c>
      <c r="CH7">
        <v>49810.617226700233</v>
      </c>
      <c r="CI7" s="22">
        <v>26024.556140576031</v>
      </c>
      <c r="CK7" s="154">
        <v>0.15</v>
      </c>
      <c r="CL7">
        <v>105656.99139974799</v>
      </c>
      <c r="CM7">
        <v>106555.13334597491</v>
      </c>
      <c r="CN7">
        <v>100564.05145067742</v>
      </c>
      <c r="CO7" s="22">
        <v>52049.112281152062</v>
      </c>
      <c r="CQ7" s="154">
        <v>0.15</v>
      </c>
      <c r="CR7">
        <v>160490.24681957433</v>
      </c>
      <c r="CS7">
        <v>162106.34524855835</v>
      </c>
      <c r="CT7">
        <v>151317.48567465463</v>
      </c>
      <c r="CU7" s="22">
        <v>78073.668421728085</v>
      </c>
      <c r="CW7" s="154">
        <v>0.15</v>
      </c>
      <c r="CX7">
        <v>47280.028527250441</v>
      </c>
      <c r="CY7">
        <v>46834.853852013599</v>
      </c>
      <c r="CZ7">
        <v>49810.617226700233</v>
      </c>
      <c r="DA7" s="22">
        <v>26024.556140576031</v>
      </c>
      <c r="DC7" s="154">
        <v>0.15</v>
      </c>
      <c r="DD7" s="125">
        <v>98173.365450414814</v>
      </c>
      <c r="DE7" s="125">
        <v>97750.86752323003</v>
      </c>
      <c r="DF7" s="125">
        <v>100564.05145067742</v>
      </c>
      <c r="DG7" s="22">
        <v>52049.112281152062</v>
      </c>
      <c r="DI7" s="154">
        <v>0.15</v>
      </c>
      <c r="DJ7">
        <v>149066.70237357917</v>
      </c>
      <c r="DK7">
        <v>148666.88119444644</v>
      </c>
      <c r="DL7">
        <v>151317.48567465463</v>
      </c>
      <c r="DM7" s="22">
        <v>78073.668421728085</v>
      </c>
      <c r="DO7" s="154">
        <v>0.15</v>
      </c>
      <c r="DP7">
        <v>51498.692197584933</v>
      </c>
      <c r="DQ7">
        <v>50291.026868473724</v>
      </c>
      <c r="DR7">
        <v>49810.617226700233</v>
      </c>
      <c r="DS7" s="22">
        <v>26024.556140576031</v>
      </c>
      <c r="DU7" s="154">
        <v>0.15</v>
      </c>
      <c r="DV7">
        <v>107058.66317916424</v>
      </c>
      <c r="DW7">
        <v>105190.23754212724</v>
      </c>
      <c r="DX7">
        <v>100564.05145067742</v>
      </c>
      <c r="DY7" s="22">
        <v>52049.112281152062</v>
      </c>
      <c r="EA7" s="154">
        <v>0.15</v>
      </c>
      <c r="EB7">
        <v>162618.63416074356</v>
      </c>
      <c r="EC7">
        <v>160089.44821578078</v>
      </c>
      <c r="ED7">
        <v>151317.48567465463</v>
      </c>
      <c r="EE7" s="22">
        <v>78073.668421728085</v>
      </c>
      <c r="EG7" s="154">
        <v>0.15</v>
      </c>
      <c r="EH7">
        <v>51701.792113339325</v>
      </c>
      <c r="EI7">
        <v>52036.928659177</v>
      </c>
      <c r="EJ7">
        <v>49810.617226700233</v>
      </c>
      <c r="EK7" s="22">
        <v>26024.556140576031</v>
      </c>
      <c r="EM7" s="154">
        <v>0.15</v>
      </c>
      <c r="EN7">
        <v>107255.32323567149</v>
      </c>
      <c r="EO7">
        <v>108435.52374117904</v>
      </c>
      <c r="EP7">
        <v>100564.05145067742</v>
      </c>
      <c r="EQ7" s="22">
        <v>52049.112281152062</v>
      </c>
      <c r="ES7" s="154">
        <v>0.15</v>
      </c>
      <c r="ET7">
        <v>162808.85435800365</v>
      </c>
      <c r="EU7">
        <v>164834.11882318108</v>
      </c>
      <c r="EV7">
        <v>151317.48567465463</v>
      </c>
      <c r="EW7" s="22">
        <v>78073.668421728085</v>
      </c>
      <c r="EY7" s="154">
        <v>0.15</v>
      </c>
      <c r="EZ7">
        <v>102508.66188883835</v>
      </c>
      <c r="FA7">
        <v>102851.21627431654</v>
      </c>
      <c r="FB7">
        <v>100564.05145067742</v>
      </c>
      <c r="FC7" s="22">
        <v>52049.112281152062</v>
      </c>
      <c r="FE7" s="154">
        <v>0.15</v>
      </c>
      <c r="FF7">
        <v>49245.66527519135</v>
      </c>
      <c r="FG7">
        <v>49147.367673120563</v>
      </c>
      <c r="FH7">
        <v>49810.617226700233</v>
      </c>
      <c r="FI7" s="22">
        <v>26024.556140576031</v>
      </c>
      <c r="FK7" s="154">
        <v>0.15</v>
      </c>
      <c r="FL7">
        <v>155771.65850248534</v>
      </c>
      <c r="FM7">
        <v>156555.0648755125</v>
      </c>
      <c r="FN7">
        <v>151317.48567465463</v>
      </c>
      <c r="FO7" s="22">
        <v>78073.668421728085</v>
      </c>
      <c r="FQ7" s="154">
        <v>0.15</v>
      </c>
      <c r="FR7">
        <v>51701.792113339325</v>
      </c>
      <c r="FS7">
        <v>52036.928659177</v>
      </c>
      <c r="FT7">
        <v>49810.617226700233</v>
      </c>
      <c r="FU7" s="22">
        <v>26024.556140576031</v>
      </c>
      <c r="FW7" s="154">
        <v>0.15</v>
      </c>
      <c r="FX7">
        <v>107255.32323567149</v>
      </c>
      <c r="FY7">
        <v>108435.52374117904</v>
      </c>
      <c r="FZ7">
        <v>100564.05145067742</v>
      </c>
      <c r="GA7" s="22">
        <v>52049.112281152062</v>
      </c>
      <c r="GC7" s="154">
        <v>0.15</v>
      </c>
      <c r="GD7">
        <v>162808.85435800365</v>
      </c>
      <c r="GE7">
        <v>164834.11882318108</v>
      </c>
      <c r="GF7">
        <v>151317.48567465463</v>
      </c>
      <c r="GG7" s="22">
        <v>78073.668421728085</v>
      </c>
      <c r="GI7" s="154">
        <v>0.15</v>
      </c>
      <c r="GJ7">
        <v>51669.481078430726</v>
      </c>
      <c r="GK7">
        <v>49068.593757461102</v>
      </c>
      <c r="GL7">
        <v>49810.617226700233</v>
      </c>
      <c r="GM7" s="22">
        <v>26024.556140576031</v>
      </c>
      <c r="GO7" s="154">
        <v>0.15</v>
      </c>
      <c r="GP7">
        <v>107400.24094085583</v>
      </c>
      <c r="GQ7">
        <v>99993.6912020296</v>
      </c>
      <c r="GR7">
        <v>100564.05145067742</v>
      </c>
      <c r="GS7" s="22">
        <v>52049.112281152062</v>
      </c>
      <c r="GU7" s="154">
        <v>0.15</v>
      </c>
      <c r="GV7">
        <v>163131.00080328091</v>
      </c>
      <c r="GW7">
        <v>150918.78864659811</v>
      </c>
      <c r="GX7">
        <v>151317.48567465463</v>
      </c>
      <c r="GY7" s="22">
        <v>78073.668421728085</v>
      </c>
      <c r="HA7" s="154">
        <v>20000</v>
      </c>
      <c r="HB7">
        <v>107400.24094085583</v>
      </c>
      <c r="HC7">
        <v>108606.01515904297</v>
      </c>
      <c r="HD7">
        <v>100564.05145067742</v>
      </c>
      <c r="HE7" s="22">
        <v>52049.112281152062</v>
      </c>
      <c r="HG7" s="154">
        <v>0.03</v>
      </c>
      <c r="HH7">
        <v>52814.747114171536</v>
      </c>
      <c r="HI7">
        <v>53165.097584142888</v>
      </c>
      <c r="HJ7">
        <v>50836.945657608361</v>
      </c>
      <c r="HK7" s="22">
        <v>26589.911494295571</v>
      </c>
      <c r="HM7" s="154">
        <v>0.03</v>
      </c>
      <c r="HN7">
        <v>109690.77301233745</v>
      </c>
      <c r="HO7">
        <v>110938.37897346557</v>
      </c>
      <c r="HP7">
        <v>102616.70831249368</v>
      </c>
      <c r="HQ7" s="22">
        <v>53179.822988591142</v>
      </c>
      <c r="HS7" s="154">
        <v>0.03</v>
      </c>
      <c r="HT7">
        <v>166566.79891050336</v>
      </c>
      <c r="HU7">
        <v>168711.66036278827</v>
      </c>
      <c r="HV7">
        <v>154396.47096737902</v>
      </c>
      <c r="HW7" s="22">
        <v>79769.734482886706</v>
      </c>
      <c r="HY7" s="154">
        <v>0.03</v>
      </c>
      <c r="HZ7">
        <v>51652.482945586169</v>
      </c>
      <c r="IA7">
        <v>51981.621606500521</v>
      </c>
      <c r="IB7">
        <v>49795.296073512582</v>
      </c>
      <c r="IC7" s="22">
        <v>26024.556140576031</v>
      </c>
      <c r="IE7" s="154">
        <v>0.03</v>
      </c>
      <c r="IF7">
        <v>107383.24280801127</v>
      </c>
      <c r="IG7">
        <v>108588.72108861191</v>
      </c>
      <c r="IH7">
        <v>100548.73029748978</v>
      </c>
      <c r="II7" s="22">
        <v>52049.112281152062</v>
      </c>
      <c r="IK7" s="154">
        <v>0.03</v>
      </c>
      <c r="IL7">
        <v>163114.00267043637</v>
      </c>
      <c r="IM7">
        <v>165195.82057072333</v>
      </c>
      <c r="IN7">
        <v>151302.16452146697</v>
      </c>
      <c r="IO7" s="22">
        <v>78073.668421728085</v>
      </c>
    </row>
    <row r="8" spans="3:249" x14ac:dyDescent="0.2">
      <c r="C8" s="23">
        <v>0.06</v>
      </c>
      <c r="D8" s="125">
        <v>11822.988479827372</v>
      </c>
      <c r="E8" s="125">
        <v>21068.970664262393</v>
      </c>
      <c r="F8" s="125">
        <v>23010.786187367692</v>
      </c>
      <c r="G8" s="22">
        <v>28303.549741055696</v>
      </c>
      <c r="H8" s="137"/>
      <c r="I8" s="23">
        <v>0.06</v>
      </c>
      <c r="J8" s="125">
        <v>26024.556140576031</v>
      </c>
      <c r="K8" s="125">
        <v>49564.144633516553</v>
      </c>
      <c r="L8" s="125">
        <v>51423.0134146989</v>
      </c>
      <c r="M8" s="22">
        <v>51752.505738266533</v>
      </c>
      <c r="O8" s="23">
        <v>0.06</v>
      </c>
      <c r="P8" s="125">
        <v>39036.834210864043</v>
      </c>
      <c r="Q8" s="125">
        <v>74940.861745505157</v>
      </c>
      <c r="R8" s="125">
        <v>79288.393345911434</v>
      </c>
      <c r="S8" s="22">
        <v>80056.05547932224</v>
      </c>
      <c r="U8" s="23">
        <v>0.06</v>
      </c>
      <c r="V8" s="125">
        <v>52049.112281152062</v>
      </c>
      <c r="W8" s="125">
        <v>100317.57885749375</v>
      </c>
      <c r="X8" s="125">
        <v>107153.773277124</v>
      </c>
      <c r="Y8" s="22">
        <v>108359.60522037793</v>
      </c>
      <c r="AA8" s="23">
        <v>0.06</v>
      </c>
      <c r="AB8" s="125">
        <v>65061.390351440074</v>
      </c>
      <c r="AC8" s="125">
        <v>125694.29596948235</v>
      </c>
      <c r="AD8" s="125">
        <v>135019.15320833653</v>
      </c>
      <c r="AE8" s="22">
        <v>136663.15496143364</v>
      </c>
      <c r="AG8" s="23">
        <v>0.06</v>
      </c>
      <c r="AH8" s="125">
        <v>78073.668421728085</v>
      </c>
      <c r="AI8" s="125">
        <v>151071.01308147094</v>
      </c>
      <c r="AJ8" s="125">
        <v>162884.53313954908</v>
      </c>
      <c r="AK8" s="22">
        <v>164966.70470248934</v>
      </c>
      <c r="AM8" s="23">
        <v>0.06</v>
      </c>
      <c r="AN8" s="125">
        <v>91085.946492016097</v>
      </c>
      <c r="AO8" s="125">
        <v>176447.73019345955</v>
      </c>
      <c r="AP8" s="125">
        <v>190749.91307076166</v>
      </c>
      <c r="AQ8" s="22">
        <v>193270.25444354504</v>
      </c>
      <c r="AS8" s="154">
        <v>0.08</v>
      </c>
      <c r="AT8">
        <v>106190.295555555</v>
      </c>
      <c r="AU8">
        <v>108304.5731616</v>
      </c>
      <c r="AV8">
        <v>108452.22898749899</v>
      </c>
      <c r="AW8" s="22">
        <v>107869.690908299</v>
      </c>
      <c r="AY8" s="154">
        <v>0.08</v>
      </c>
      <c r="AZ8">
        <v>212380.59111111099</v>
      </c>
      <c r="BA8">
        <v>216692.95228160001</v>
      </c>
      <c r="BB8">
        <v>217187.307281877</v>
      </c>
      <c r="BC8">
        <v>217361.13653585501</v>
      </c>
      <c r="BD8" s="22">
        <v>216757.62037745499</v>
      </c>
      <c r="BF8" s="154">
        <v>0.08</v>
      </c>
      <c r="BG8">
        <v>318570.88666666602</v>
      </c>
      <c r="BH8">
        <v>325081.33140159998</v>
      </c>
      <c r="BI8">
        <v>326016.03775805997</v>
      </c>
      <c r="BJ8">
        <v>326270.044084211</v>
      </c>
      <c r="BK8" s="22">
        <v>325645.54984661198</v>
      </c>
      <c r="BM8" s="154">
        <v>0.08</v>
      </c>
      <c r="BN8">
        <v>75054.684097142061</v>
      </c>
      <c r="BO8">
        <v>74938.754509800609</v>
      </c>
      <c r="BP8">
        <v>75719.550631851467</v>
      </c>
      <c r="BQ8" s="22">
        <v>47798.469717725464</v>
      </c>
      <c r="BS8" s="154">
        <v>0.08</v>
      </c>
      <c r="BT8">
        <v>154358.50779174981</v>
      </c>
      <c r="BU8">
        <v>154600.75492415152</v>
      </c>
      <c r="BV8">
        <v>152982.30512102242</v>
      </c>
      <c r="BW8" s="22">
        <v>95596.939435450928</v>
      </c>
      <c r="BY8" s="154">
        <v>0.08</v>
      </c>
      <c r="BZ8">
        <v>233662.33148635758</v>
      </c>
      <c r="CA8">
        <v>234262.75533850244</v>
      </c>
      <c r="CB8">
        <v>230245.05961019339</v>
      </c>
      <c r="CC8" s="22">
        <v>143395.40915317638</v>
      </c>
      <c r="CE8" s="154">
        <v>0.2</v>
      </c>
      <c r="CF8">
        <v>50541.255987099627</v>
      </c>
      <c r="CG8">
        <v>50671.592040071482</v>
      </c>
      <c r="CH8">
        <v>49810.617226700233</v>
      </c>
      <c r="CI8" s="22">
        <v>26024.556140576031</v>
      </c>
      <c r="CK8" s="154">
        <v>0.2</v>
      </c>
      <c r="CL8">
        <v>105074.74372402724</v>
      </c>
      <c r="CM8">
        <v>105870.13608042114</v>
      </c>
      <c r="CN8">
        <v>100564.05145067742</v>
      </c>
      <c r="CO8" s="22">
        <v>52049.112281152062</v>
      </c>
      <c r="CQ8" s="154">
        <v>0.2</v>
      </c>
      <c r="CR8">
        <v>159608.23146095488</v>
      </c>
      <c r="CS8">
        <v>161068.68012077079</v>
      </c>
      <c r="CT8">
        <v>151317.48567465463</v>
      </c>
      <c r="CU8" s="22">
        <v>78073.668421728085</v>
      </c>
      <c r="CW8" s="154">
        <v>0.2</v>
      </c>
      <c r="CX8">
        <v>49757.61722670024</v>
      </c>
      <c r="CY8">
        <v>45101.947199356553</v>
      </c>
      <c r="CZ8">
        <v>49810.617226700233</v>
      </c>
      <c r="DA8" s="22">
        <v>26024.556140576031</v>
      </c>
      <c r="DC8" s="154">
        <v>0.2</v>
      </c>
      <c r="DD8" s="125">
        <v>100511.05145067743</v>
      </c>
      <c r="DE8" s="125">
        <v>94108.200531346476</v>
      </c>
      <c r="DF8" s="125">
        <v>100564.05145067742</v>
      </c>
      <c r="DG8" s="22">
        <v>52049.112281152062</v>
      </c>
      <c r="DI8" s="154">
        <v>0.2</v>
      </c>
      <c r="DJ8">
        <v>151264.48567465466</v>
      </c>
      <c r="DK8">
        <v>143114.45386333641</v>
      </c>
      <c r="DL8">
        <v>151317.48567465463</v>
      </c>
      <c r="DM8" s="22">
        <v>78073.668421728085</v>
      </c>
      <c r="DO8" s="154">
        <v>0.2</v>
      </c>
      <c r="DP8">
        <v>51441.686563123723</v>
      </c>
      <c r="DQ8">
        <v>49720.97052386163</v>
      </c>
      <c r="DR8">
        <v>49810.617226700233</v>
      </c>
      <c r="DS8" s="22">
        <v>26024.556140576031</v>
      </c>
      <c r="DU8" s="154">
        <v>0.2</v>
      </c>
      <c r="DV8">
        <v>106944.65191024182</v>
      </c>
      <c r="DW8">
        <v>104050.12485290306</v>
      </c>
      <c r="DX8">
        <v>100564.05145067742</v>
      </c>
      <c r="DY8" s="22">
        <v>52049.112281152062</v>
      </c>
      <c r="EA8" s="154">
        <v>0.2</v>
      </c>
      <c r="EB8">
        <v>162447.61725735993</v>
      </c>
      <c r="EC8">
        <v>158379.27918194447</v>
      </c>
      <c r="ED8">
        <v>151317.48567465463</v>
      </c>
      <c r="EE8" s="22">
        <v>78073.668421728085</v>
      </c>
      <c r="EG8" s="154">
        <v>0.2</v>
      </c>
      <c r="EH8">
        <v>51701.792113339325</v>
      </c>
      <c r="EI8">
        <v>52036.928659177</v>
      </c>
      <c r="EJ8">
        <v>49810.617226700233</v>
      </c>
      <c r="EK8" s="22">
        <v>26024.556140576031</v>
      </c>
      <c r="EM8" s="154">
        <v>0.2</v>
      </c>
      <c r="EN8">
        <v>107255.32323567149</v>
      </c>
      <c r="EO8">
        <v>108435.52374117904</v>
      </c>
      <c r="EP8">
        <v>100564.05145067742</v>
      </c>
      <c r="EQ8" s="22">
        <v>52049.112281152062</v>
      </c>
      <c r="ES8" s="154">
        <v>0.2</v>
      </c>
      <c r="ET8">
        <v>162808.85435800365</v>
      </c>
      <c r="EU8">
        <v>164834.11882318108</v>
      </c>
      <c r="EV8">
        <v>151317.48567465463</v>
      </c>
      <c r="EW8" s="22">
        <v>78073.668421728085</v>
      </c>
      <c r="EY8" s="154">
        <v>0.2</v>
      </c>
      <c r="EZ8">
        <v>99014.67685168302</v>
      </c>
      <c r="FA8">
        <v>98740.645642369098</v>
      </c>
      <c r="FB8">
        <v>100564.05145067742</v>
      </c>
      <c r="FC8" s="22">
        <v>52049.112281152062</v>
      </c>
      <c r="FE8" s="154">
        <v>0.2</v>
      </c>
      <c r="FF8">
        <v>47514.368272877517</v>
      </c>
      <c r="FG8">
        <v>47110.547670398417</v>
      </c>
      <c r="FH8">
        <v>49810.617226700233</v>
      </c>
      <c r="FI8" s="22">
        <v>26024.556140576031</v>
      </c>
      <c r="FK8" s="154">
        <v>0.2</v>
      </c>
      <c r="FL8">
        <v>150514.98543048851</v>
      </c>
      <c r="FM8">
        <v>150370.74361433979</v>
      </c>
      <c r="FN8">
        <v>151317.48567465463</v>
      </c>
      <c r="FO8" s="22">
        <v>78073.668421728085</v>
      </c>
      <c r="FQ8" s="154">
        <v>0.2</v>
      </c>
      <c r="FR8">
        <v>51701.792113339325</v>
      </c>
      <c r="FS8">
        <v>52036.928659177</v>
      </c>
      <c r="FT8">
        <v>49810.617226700233</v>
      </c>
      <c r="FU8" s="22">
        <v>26024.556140576031</v>
      </c>
      <c r="FW8" s="154">
        <v>0.2</v>
      </c>
      <c r="FX8">
        <v>107255.32323567149</v>
      </c>
      <c r="FY8">
        <v>108435.52374117904</v>
      </c>
      <c r="FZ8">
        <v>100564.05145067742</v>
      </c>
      <c r="GA8" s="22">
        <v>52049.112281152062</v>
      </c>
      <c r="GC8" s="154">
        <v>0.2</v>
      </c>
      <c r="GD8">
        <v>162808.85435800365</v>
      </c>
      <c r="GE8">
        <v>164834.11882318108</v>
      </c>
      <c r="GF8">
        <v>151317.48567465463</v>
      </c>
      <c r="GG8" s="22">
        <v>78073.668421728085</v>
      </c>
      <c r="GI8" s="154">
        <v>0.2</v>
      </c>
      <c r="GJ8">
        <v>51669.481078430726</v>
      </c>
      <c r="GK8">
        <v>49068.593757461102</v>
      </c>
      <c r="GL8">
        <v>49810.617226700233</v>
      </c>
      <c r="GM8" s="22">
        <v>26024.556140576031</v>
      </c>
      <c r="GO8" s="154">
        <v>0.2</v>
      </c>
      <c r="GP8">
        <v>107400.24094085583</v>
      </c>
      <c r="GQ8">
        <v>99993.6912020296</v>
      </c>
      <c r="GR8">
        <v>100564.05145067742</v>
      </c>
      <c r="GS8" s="22">
        <v>52049.112281152062</v>
      </c>
      <c r="GU8" s="154">
        <v>0.2</v>
      </c>
      <c r="GV8">
        <v>163131.00080328091</v>
      </c>
      <c r="GW8">
        <v>150918.78864659811</v>
      </c>
      <c r="GX8">
        <v>151317.48567465463</v>
      </c>
      <c r="GY8" s="22">
        <v>78073.668421728085</v>
      </c>
      <c r="HA8" s="154">
        <v>25000</v>
      </c>
      <c r="HB8">
        <v>135265.62087206836</v>
      </c>
      <c r="HC8">
        <v>136909.56490009869</v>
      </c>
      <c r="HD8">
        <v>125940.76856266601</v>
      </c>
      <c r="HE8" s="22">
        <v>65061.390351440074</v>
      </c>
      <c r="HG8" s="154">
        <v>0.04</v>
      </c>
      <c r="HH8">
        <v>50562.366097135928</v>
      </c>
      <c r="HI8">
        <v>50871.153256123638</v>
      </c>
      <c r="HJ8">
        <v>48820.897603198158</v>
      </c>
      <c r="HK8" s="22">
        <v>25483.377587598356</v>
      </c>
      <c r="HM8" s="154">
        <v>0.04</v>
      </c>
      <c r="HN8">
        <v>105186.01097826623</v>
      </c>
      <c r="HO8">
        <v>106350.49031742707</v>
      </c>
      <c r="HP8">
        <v>98584.61220367327</v>
      </c>
      <c r="HQ8" s="22">
        <v>50966.755175196711</v>
      </c>
      <c r="HS8" s="154">
        <v>0.04</v>
      </c>
      <c r="HT8">
        <v>159809.65585939656</v>
      </c>
      <c r="HU8">
        <v>161829.82737873052</v>
      </c>
      <c r="HV8">
        <v>148348.32680414841</v>
      </c>
      <c r="HW8" s="22">
        <v>76450.132762795067</v>
      </c>
      <c r="HY8" s="154">
        <v>0.04</v>
      </c>
      <c r="HZ8">
        <v>51685.91563763874</v>
      </c>
      <c r="IA8">
        <v>52015.617112168977</v>
      </c>
      <c r="IB8">
        <v>49825.53948840846</v>
      </c>
      <c r="IC8" s="22">
        <v>26024.556140576031</v>
      </c>
      <c r="IE8" s="154">
        <v>0.04</v>
      </c>
      <c r="IF8">
        <v>107416.67550006385</v>
      </c>
      <c r="IG8">
        <v>108622.71659428037</v>
      </c>
      <c r="IH8">
        <v>100578.97371238565</v>
      </c>
      <c r="II8" s="22">
        <v>52049.112281152062</v>
      </c>
      <c r="IK8" s="154">
        <v>0.04</v>
      </c>
      <c r="IL8">
        <v>163147.43536248893</v>
      </c>
      <c r="IM8">
        <v>165229.81607639178</v>
      </c>
      <c r="IN8">
        <v>151332.40793636284</v>
      </c>
      <c r="IO8" s="22">
        <v>78073.668421728085</v>
      </c>
    </row>
    <row r="9" spans="3:249" x14ac:dyDescent="0.2">
      <c r="C9" s="23">
        <v>0.08</v>
      </c>
      <c r="D9" s="125">
        <v>11822.988479827372</v>
      </c>
      <c r="E9" s="125">
        <v>21068.970664262393</v>
      </c>
      <c r="F9" s="125">
        <v>23010.786187367692</v>
      </c>
      <c r="G9" s="22">
        <v>28303.549741055696</v>
      </c>
      <c r="H9" s="137"/>
      <c r="I9" s="23">
        <v>0.08</v>
      </c>
      <c r="J9" s="125">
        <v>26024.556140576031</v>
      </c>
      <c r="K9" s="125">
        <v>49564.144633516553</v>
      </c>
      <c r="L9" s="125">
        <v>51423.0134146989</v>
      </c>
      <c r="M9" s="22">
        <v>51752.505738266533</v>
      </c>
      <c r="O9" s="23">
        <v>0.08</v>
      </c>
      <c r="P9" s="125">
        <v>39036.834210864043</v>
      </c>
      <c r="Q9" s="125">
        <v>74940.861745505157</v>
      </c>
      <c r="R9" s="125">
        <v>79288.393345911434</v>
      </c>
      <c r="S9" s="22">
        <v>80056.05547932224</v>
      </c>
      <c r="U9" s="23">
        <v>0.08</v>
      </c>
      <c r="V9" s="125">
        <v>52049.112281152062</v>
      </c>
      <c r="W9" s="125">
        <v>100317.57885749375</v>
      </c>
      <c r="X9" s="125">
        <v>107153.773277124</v>
      </c>
      <c r="Y9" s="22">
        <v>108359.60522037793</v>
      </c>
      <c r="AA9" s="23">
        <v>0.08</v>
      </c>
      <c r="AB9" s="125">
        <v>65061.390351440074</v>
      </c>
      <c r="AC9" s="125">
        <v>125694.29596948235</v>
      </c>
      <c r="AD9" s="125">
        <v>135019.15320833653</v>
      </c>
      <c r="AE9" s="22">
        <v>136663.15496143364</v>
      </c>
      <c r="AG9" s="23">
        <v>0.08</v>
      </c>
      <c r="AH9" s="125">
        <v>78073.668421728085</v>
      </c>
      <c r="AI9" s="125">
        <v>151071.01308147094</v>
      </c>
      <c r="AJ9" s="125">
        <v>162884.53313954908</v>
      </c>
      <c r="AK9" s="22">
        <v>164966.70470248934</v>
      </c>
      <c r="AM9" s="23">
        <v>0.08</v>
      </c>
      <c r="AN9" s="125">
        <v>91085.946492016097</v>
      </c>
      <c r="AO9" s="125">
        <v>176447.73019345955</v>
      </c>
      <c r="AP9" s="125">
        <v>190749.91307076166</v>
      </c>
      <c r="AQ9" s="22">
        <v>193270.25444354504</v>
      </c>
      <c r="AS9" s="154">
        <v>0.1</v>
      </c>
      <c r="AT9">
        <v>104235.04444444401</v>
      </c>
      <c r="AU9">
        <v>106877.891452</v>
      </c>
      <c r="AV9">
        <v>107075.711234374</v>
      </c>
      <c r="AW9" s="22">
        <v>106506.989200374</v>
      </c>
      <c r="AY9" s="154">
        <v>0.1</v>
      </c>
      <c r="AZ9">
        <v>208470.08888888801</v>
      </c>
      <c r="BA9">
        <v>213860.54035200001</v>
      </c>
      <c r="BB9">
        <v>214509.57421534599</v>
      </c>
      <c r="BC9">
        <v>214709.020669819</v>
      </c>
      <c r="BD9" s="22">
        <v>214119.776601819</v>
      </c>
      <c r="BF9" s="154">
        <v>0.1</v>
      </c>
      <c r="BG9">
        <v>312705.13333333301</v>
      </c>
      <c r="BH9">
        <v>320843.18925200001</v>
      </c>
      <c r="BI9">
        <v>322043.23236707499</v>
      </c>
      <c r="BJ9">
        <v>322342.33010526397</v>
      </c>
      <c r="BK9" s="22">
        <v>321732.56400326401</v>
      </c>
      <c r="BM9" s="154">
        <v>0.1</v>
      </c>
      <c r="BN9">
        <v>74484.313291807644</v>
      </c>
      <c r="BO9">
        <v>74379.246245584276</v>
      </c>
      <c r="BP9">
        <v>75087.625426847779</v>
      </c>
      <c r="BQ9" s="22">
        <v>47267.39865486815</v>
      </c>
      <c r="BS9" s="154">
        <v>0.1</v>
      </c>
      <c r="BT9">
        <v>153213.1842100207</v>
      </c>
      <c r="BU9">
        <v>153478.93200305128</v>
      </c>
      <c r="BV9">
        <v>151703.81112906279</v>
      </c>
      <c r="BW9" s="22">
        <v>94534.797309736299</v>
      </c>
      <c r="BY9" s="154">
        <v>0.1</v>
      </c>
      <c r="BZ9">
        <v>231942.05512823377</v>
      </c>
      <c r="CA9">
        <v>232578.61776051833</v>
      </c>
      <c r="CB9">
        <v>228319.99683127779</v>
      </c>
      <c r="CC9" s="22">
        <v>141802.19596460444</v>
      </c>
      <c r="CE9" s="154">
        <v>0.25</v>
      </c>
      <c r="CF9">
        <v>50258.775994277625</v>
      </c>
      <c r="CG9">
        <v>50339.26263675146</v>
      </c>
      <c r="CH9">
        <v>49810.617226700233</v>
      </c>
      <c r="CI9" s="22">
        <v>26024.556140576031</v>
      </c>
      <c r="CK9" s="154">
        <v>0.25</v>
      </c>
      <c r="CL9">
        <v>104492.49604830654</v>
      </c>
      <c r="CM9">
        <v>105185.13881486733</v>
      </c>
      <c r="CN9">
        <v>100564.05145067742</v>
      </c>
      <c r="CO9" s="22">
        <v>52049.112281152062</v>
      </c>
      <c r="CQ9" s="154">
        <v>0.25</v>
      </c>
      <c r="CR9">
        <v>158726.21610233546</v>
      </c>
      <c r="CS9">
        <v>160031.0149929832</v>
      </c>
      <c r="CT9">
        <v>151317.48567465463</v>
      </c>
      <c r="CU9" s="22">
        <v>78073.668421728085</v>
      </c>
      <c r="CW9" s="154">
        <v>0.25</v>
      </c>
      <c r="CX9">
        <v>49757.61722670024</v>
      </c>
      <c r="CY9">
        <v>43369.040546699507</v>
      </c>
      <c r="CZ9">
        <v>49810.617226700233</v>
      </c>
      <c r="DA9" s="22">
        <v>26024.556140576031</v>
      </c>
      <c r="DC9" s="154">
        <v>0.25</v>
      </c>
      <c r="DD9" s="125">
        <v>100511.05145067743</v>
      </c>
      <c r="DE9" s="125">
        <v>90465.533539462936</v>
      </c>
      <c r="DF9" s="125">
        <v>100564.05145067742</v>
      </c>
      <c r="DG9" s="22">
        <v>52049.112281152062</v>
      </c>
      <c r="DI9" s="154">
        <v>0.25</v>
      </c>
      <c r="DJ9">
        <v>151264.48567465466</v>
      </c>
      <c r="DK9">
        <v>137562.02653222633</v>
      </c>
      <c r="DL9">
        <v>151317.48567465463</v>
      </c>
      <c r="DM9" s="22">
        <v>78073.668421728085</v>
      </c>
      <c r="DO9" s="154">
        <v>0.25</v>
      </c>
      <c r="DP9">
        <v>51384.680928662514</v>
      </c>
      <c r="DQ9">
        <v>49150.914179249528</v>
      </c>
      <c r="DR9">
        <v>49810.617226700233</v>
      </c>
      <c r="DS9" s="22">
        <v>26024.556140576031</v>
      </c>
      <c r="DU9" s="154">
        <v>0.25</v>
      </c>
      <c r="DV9">
        <v>106830.64064131941</v>
      </c>
      <c r="DW9">
        <v>102910.01216367885</v>
      </c>
      <c r="DX9">
        <v>100564.05145067742</v>
      </c>
      <c r="DY9" s="22">
        <v>52049.112281152062</v>
      </c>
      <c r="EA9" s="154">
        <v>0.25</v>
      </c>
      <c r="EB9">
        <v>162276.6003539763</v>
      </c>
      <c r="EC9">
        <v>156669.11014810819</v>
      </c>
      <c r="ED9">
        <v>151317.48567465463</v>
      </c>
      <c r="EE9" s="22">
        <v>78073.668421728085</v>
      </c>
      <c r="EG9" s="154">
        <v>0.25</v>
      </c>
      <c r="EH9">
        <v>51701.792113339325</v>
      </c>
      <c r="EI9">
        <v>52036.928659177</v>
      </c>
      <c r="EJ9">
        <v>49810.617226700233</v>
      </c>
      <c r="EK9" s="22">
        <v>26024.556140576031</v>
      </c>
      <c r="EM9" s="154">
        <v>0.25</v>
      </c>
      <c r="EN9">
        <v>107255.32323567149</v>
      </c>
      <c r="EO9">
        <v>108435.52374117904</v>
      </c>
      <c r="EP9">
        <v>100564.05145067742</v>
      </c>
      <c r="EQ9" s="22">
        <v>52049.112281152062</v>
      </c>
      <c r="ES9" s="154">
        <v>0.25</v>
      </c>
      <c r="ET9">
        <v>162808.85435800365</v>
      </c>
      <c r="EU9">
        <v>164834.11882318108</v>
      </c>
      <c r="EV9">
        <v>151317.48567465463</v>
      </c>
      <c r="EW9" s="22">
        <v>78073.668421728085</v>
      </c>
      <c r="EY9" s="154">
        <v>0.25</v>
      </c>
      <c r="EZ9">
        <v>100079.76557739446</v>
      </c>
      <c r="FA9">
        <v>99993.6912020296</v>
      </c>
      <c r="FB9">
        <v>100564.05145067742</v>
      </c>
      <c r="FC9" s="22">
        <v>52049.112281152062</v>
      </c>
      <c r="FE9" s="154">
        <v>0.25</v>
      </c>
      <c r="FF9">
        <v>49178.707446880813</v>
      </c>
      <c r="FG9">
        <v>49068.593757461102</v>
      </c>
      <c r="FH9">
        <v>49810.617226700233</v>
      </c>
      <c r="FI9" s="22">
        <v>26024.556140576031</v>
      </c>
      <c r="FK9" s="154">
        <v>0.25</v>
      </c>
      <c r="FL9">
        <v>150980.8237079081</v>
      </c>
      <c r="FM9">
        <v>150918.78864659811</v>
      </c>
      <c r="FN9">
        <v>151317.48567465463</v>
      </c>
      <c r="FO9" s="22">
        <v>78073.668421728085</v>
      </c>
      <c r="FQ9" s="154">
        <v>0.25</v>
      </c>
      <c r="FR9">
        <v>51701.792113339325</v>
      </c>
      <c r="FS9">
        <v>52036.928659177</v>
      </c>
      <c r="FT9">
        <v>49810.617226700233</v>
      </c>
      <c r="FU9" s="22">
        <v>26024.556140576031</v>
      </c>
      <c r="FW9" s="154">
        <v>0.25</v>
      </c>
      <c r="FX9">
        <v>107255.32323567149</v>
      </c>
      <c r="FY9">
        <v>108435.52374117904</v>
      </c>
      <c r="FZ9">
        <v>100564.05145067742</v>
      </c>
      <c r="GA9" s="22">
        <v>52049.112281152062</v>
      </c>
      <c r="GC9" s="154">
        <v>0.25</v>
      </c>
      <c r="GD9">
        <v>162808.85435800365</v>
      </c>
      <c r="GE9">
        <v>164834.11882318108</v>
      </c>
      <c r="GF9">
        <v>151317.48567465463</v>
      </c>
      <c r="GG9" s="22">
        <v>78073.668421728085</v>
      </c>
      <c r="GI9" s="154">
        <v>0.25</v>
      </c>
      <c r="GJ9">
        <v>51669.481078430726</v>
      </c>
      <c r="GK9">
        <v>46650.48099081168</v>
      </c>
      <c r="GL9">
        <v>49810.617226700233</v>
      </c>
      <c r="GM9" s="22">
        <v>26024.556140576031</v>
      </c>
      <c r="GO9" s="154">
        <v>0.25</v>
      </c>
      <c r="GP9">
        <v>107400.24094085583</v>
      </c>
      <c r="GQ9">
        <v>97934.721529577946</v>
      </c>
      <c r="GR9">
        <v>100564.05145067742</v>
      </c>
      <c r="GS9" s="22">
        <v>52049.112281152062</v>
      </c>
      <c r="GU9" s="154">
        <v>0.25</v>
      </c>
      <c r="GV9">
        <v>163131.00080328091</v>
      </c>
      <c r="GW9">
        <v>149218.96206834423</v>
      </c>
      <c r="GX9">
        <v>151317.48567465463</v>
      </c>
      <c r="GY9" s="22">
        <v>78073.668421728085</v>
      </c>
      <c r="HA9" s="154">
        <v>30000</v>
      </c>
      <c r="HB9">
        <v>163131.00080328091</v>
      </c>
      <c r="HC9">
        <v>165213.11464115439</v>
      </c>
      <c r="HD9">
        <v>151317.48567465463</v>
      </c>
      <c r="HE9" s="22">
        <v>78073.668421728085</v>
      </c>
      <c r="HG9" s="154">
        <v>0.05</v>
      </c>
      <c r="HH9">
        <v>48455.757158810477</v>
      </c>
      <c r="HI9">
        <v>48724.114986740038</v>
      </c>
      <c r="HJ9">
        <v>46944.116298772555</v>
      </c>
      <c r="HK9" s="22">
        <v>24468.107486900717</v>
      </c>
      <c r="HM9" s="154">
        <v>0.05</v>
      </c>
      <c r="HN9">
        <v>100972.79310161533</v>
      </c>
      <c r="HO9">
        <v>102056.41377865987</v>
      </c>
      <c r="HP9">
        <v>94831.049594822063</v>
      </c>
      <c r="HQ9" s="22">
        <v>48936.214973801434</v>
      </c>
      <c r="HS9" s="154">
        <v>0.05</v>
      </c>
      <c r="HT9">
        <v>153489.82904442018</v>
      </c>
      <c r="HU9">
        <v>155388.71257057972</v>
      </c>
      <c r="HV9">
        <v>142717.98289087159</v>
      </c>
      <c r="HW9" s="22">
        <v>73404.322460702155</v>
      </c>
      <c r="HY9" s="154">
        <v>0.05</v>
      </c>
      <c r="HZ9">
        <v>51717.188202173682</v>
      </c>
      <c r="IA9">
        <v>52047.343193725588</v>
      </c>
      <c r="IB9">
        <v>49854.242123153941</v>
      </c>
      <c r="IC9" s="22">
        <v>26024.556140576031</v>
      </c>
      <c r="IE9" s="154">
        <v>0.05</v>
      </c>
      <c r="IF9">
        <v>107447.94806459879</v>
      </c>
      <c r="IG9">
        <v>108654.44267583698</v>
      </c>
      <c r="IH9">
        <v>100607.67634713113</v>
      </c>
      <c r="II9" s="22">
        <v>52049.112281152062</v>
      </c>
      <c r="IK9" s="154">
        <v>0.05</v>
      </c>
      <c r="IL9">
        <v>163178.70792702388</v>
      </c>
      <c r="IM9">
        <v>165261.5421579484</v>
      </c>
      <c r="IN9">
        <v>151361.11057110832</v>
      </c>
      <c r="IO9" s="22">
        <v>78073.668421728085</v>
      </c>
    </row>
    <row r="10" spans="3:249" x14ac:dyDescent="0.2">
      <c r="C10" s="23">
        <v>0.1</v>
      </c>
      <c r="D10" s="125">
        <v>11822.988479827372</v>
      </c>
      <c r="E10" s="125">
        <v>21068.970664262393</v>
      </c>
      <c r="F10" s="125">
        <v>23010.786187367692</v>
      </c>
      <c r="G10" s="22">
        <v>28303.549741055696</v>
      </c>
      <c r="H10" s="137"/>
      <c r="I10" s="23">
        <v>0.1</v>
      </c>
      <c r="J10" s="125">
        <v>26024.556140576031</v>
      </c>
      <c r="K10" s="125">
        <v>49564.144633516553</v>
      </c>
      <c r="L10" s="125">
        <v>51423.0134146989</v>
      </c>
      <c r="M10" s="22">
        <v>51752.505738266533</v>
      </c>
      <c r="O10" s="23">
        <v>0.1</v>
      </c>
      <c r="P10" s="125">
        <v>39036.834210864043</v>
      </c>
      <c r="Q10" s="125">
        <v>74940.861745505157</v>
      </c>
      <c r="R10" s="125">
        <v>79288.393345911434</v>
      </c>
      <c r="S10" s="22">
        <v>80056.05547932224</v>
      </c>
      <c r="U10" s="23">
        <v>0.1</v>
      </c>
      <c r="V10" s="125">
        <v>52049.112281152062</v>
      </c>
      <c r="W10" s="125">
        <v>100317.57885749375</v>
      </c>
      <c r="X10" s="125">
        <v>107153.773277124</v>
      </c>
      <c r="Y10" s="22">
        <v>108359.60522037793</v>
      </c>
      <c r="AA10" s="23">
        <v>0.1</v>
      </c>
      <c r="AB10" s="125">
        <v>65061.390351440074</v>
      </c>
      <c r="AC10" s="125">
        <v>125694.29596948235</v>
      </c>
      <c r="AD10" s="125">
        <v>135019.15320833653</v>
      </c>
      <c r="AE10" s="22">
        <v>136663.15496143364</v>
      </c>
      <c r="AG10" s="23">
        <v>0.1</v>
      </c>
      <c r="AH10" s="125">
        <v>78073.668421728085</v>
      </c>
      <c r="AI10" s="125">
        <v>151071.01308147094</v>
      </c>
      <c r="AJ10" s="125">
        <v>162884.53313954908</v>
      </c>
      <c r="AK10" s="22">
        <v>164966.70470248934</v>
      </c>
      <c r="AM10" s="23">
        <v>0.1</v>
      </c>
      <c r="AN10" s="125">
        <v>91085.946492016097</v>
      </c>
      <c r="AO10" s="125">
        <v>176447.73019345955</v>
      </c>
      <c r="AP10" s="125">
        <v>190749.91307076166</v>
      </c>
      <c r="AQ10" s="22">
        <v>193270.25444354504</v>
      </c>
      <c r="AS10" s="154">
        <v>0.12</v>
      </c>
      <c r="AT10">
        <v>102279.793333333</v>
      </c>
      <c r="AU10">
        <v>105451.20974239999</v>
      </c>
      <c r="AV10">
        <v>105699.19348124901</v>
      </c>
      <c r="AW10" s="22">
        <v>105144.287492449</v>
      </c>
      <c r="AY10" s="154">
        <v>0.12</v>
      </c>
      <c r="AZ10">
        <v>204559.586666666</v>
      </c>
      <c r="BA10">
        <v>211028.12842239899</v>
      </c>
      <c r="BB10">
        <v>211831.84114881599</v>
      </c>
      <c r="BC10">
        <v>212056.90480378299</v>
      </c>
      <c r="BD10" s="22">
        <v>211481.93282618301</v>
      </c>
      <c r="BF10" s="154">
        <v>0.12</v>
      </c>
      <c r="BG10">
        <v>306839.38</v>
      </c>
      <c r="BH10">
        <v>316605.047102399</v>
      </c>
      <c r="BI10">
        <v>318070.42697609001</v>
      </c>
      <c r="BJ10">
        <v>318414.61612631701</v>
      </c>
      <c r="BK10" s="22">
        <v>317819.57815991697</v>
      </c>
      <c r="BM10" s="154">
        <v>0.12</v>
      </c>
      <c r="BN10">
        <v>73913.942486473243</v>
      </c>
      <c r="BO10">
        <v>73819.737981367958</v>
      </c>
      <c r="BP10">
        <v>74455.70022184409</v>
      </c>
      <c r="BQ10" s="22">
        <v>46736.32759201085</v>
      </c>
      <c r="BS10" s="154">
        <v>0.12</v>
      </c>
      <c r="BT10">
        <v>152067.86062829162</v>
      </c>
      <c r="BU10">
        <v>152357.10908195109</v>
      </c>
      <c r="BV10">
        <v>150425.31713710315</v>
      </c>
      <c r="BW10" s="22">
        <v>93472.6551840217</v>
      </c>
      <c r="BY10" s="154">
        <v>0.12</v>
      </c>
      <c r="BZ10">
        <v>230221.77877010996</v>
      </c>
      <c r="CA10">
        <v>230894.48018253423</v>
      </c>
      <c r="CB10">
        <v>226394.93405236222</v>
      </c>
      <c r="CC10" s="22">
        <v>140208.98277603253</v>
      </c>
      <c r="CE10" s="154">
        <v>0.3</v>
      </c>
      <c r="CF10">
        <v>49976.296001455623</v>
      </c>
      <c r="CG10">
        <v>50006.93323343146</v>
      </c>
      <c r="CH10">
        <v>49810.617226700233</v>
      </c>
      <c r="CI10" s="22">
        <v>26024.556140576031</v>
      </c>
      <c r="CK10" s="154">
        <v>0.3</v>
      </c>
      <c r="CL10">
        <v>103910.24837258582</v>
      </c>
      <c r="CM10">
        <v>104500.14154931356</v>
      </c>
      <c r="CN10">
        <v>100564.05145067742</v>
      </c>
      <c r="CO10" s="22">
        <v>52049.112281152062</v>
      </c>
      <c r="CQ10" s="154">
        <v>0.3</v>
      </c>
      <c r="CR10">
        <v>157844.20074371604</v>
      </c>
      <c r="CS10">
        <v>158993.34986519566</v>
      </c>
      <c r="CT10">
        <v>151317.48567465463</v>
      </c>
      <c r="CU10" s="22">
        <v>78073.668421728085</v>
      </c>
      <c r="CW10" s="154">
        <v>0.3</v>
      </c>
      <c r="CX10">
        <v>49757.61722670024</v>
      </c>
      <c r="CY10">
        <v>41636.133894042461</v>
      </c>
      <c r="CZ10">
        <v>49810.617226700233</v>
      </c>
      <c r="DA10" s="22">
        <v>26024.556140576031</v>
      </c>
      <c r="DC10" s="154">
        <v>0.3</v>
      </c>
      <c r="DD10" s="125">
        <v>100511.05145067743</v>
      </c>
      <c r="DE10" s="125">
        <v>86822.866547579368</v>
      </c>
      <c r="DF10" s="125">
        <v>100564.05145067742</v>
      </c>
      <c r="DG10" s="22">
        <v>52049.112281152062</v>
      </c>
      <c r="DI10" s="154">
        <v>0.3</v>
      </c>
      <c r="DJ10">
        <v>151264.48567465466</v>
      </c>
      <c r="DK10">
        <v>132009.59920111627</v>
      </c>
      <c r="DL10">
        <v>151317.48567465463</v>
      </c>
      <c r="DM10" s="22">
        <v>78073.668421728085</v>
      </c>
      <c r="DO10" s="154">
        <v>0.3</v>
      </c>
      <c r="DP10">
        <v>51327.675294201297</v>
      </c>
      <c r="DQ10">
        <v>48580.857834637427</v>
      </c>
      <c r="DR10">
        <v>49810.617226700233</v>
      </c>
      <c r="DS10" s="22">
        <v>26024.556140576031</v>
      </c>
      <c r="DU10" s="154">
        <v>0.3</v>
      </c>
      <c r="DV10">
        <v>106716.62937239697</v>
      </c>
      <c r="DW10">
        <v>101769.89947445465</v>
      </c>
      <c r="DX10">
        <v>100564.05145067742</v>
      </c>
      <c r="DY10" s="22">
        <v>52049.112281152062</v>
      </c>
      <c r="EA10" s="154">
        <v>0.3</v>
      </c>
      <c r="EB10">
        <v>162105.58345059265</v>
      </c>
      <c r="EC10">
        <v>154958.94111427187</v>
      </c>
      <c r="ED10">
        <v>151317.48567465463</v>
      </c>
      <c r="EE10" s="22">
        <v>78073.668421728085</v>
      </c>
      <c r="EG10" s="154">
        <v>0.3</v>
      </c>
      <c r="EH10">
        <v>51701.792113339325</v>
      </c>
      <c r="EI10">
        <v>52036.928659177</v>
      </c>
      <c r="EJ10">
        <v>49810.617226700233</v>
      </c>
      <c r="EK10" s="22">
        <v>26024.556140576031</v>
      </c>
      <c r="EM10" s="154">
        <v>0.3</v>
      </c>
      <c r="EN10">
        <v>107255.32323567149</v>
      </c>
      <c r="EO10">
        <v>108435.52374117904</v>
      </c>
      <c r="EP10">
        <v>100564.05145067742</v>
      </c>
      <c r="EQ10" s="22">
        <v>52049.112281152062</v>
      </c>
      <c r="ES10" s="154">
        <v>0.3</v>
      </c>
      <c r="ET10">
        <v>162808.85435800365</v>
      </c>
      <c r="EU10">
        <v>164834.11882318108</v>
      </c>
      <c r="EV10">
        <v>151317.48567465463</v>
      </c>
      <c r="EW10" s="22">
        <v>78073.668421728085</v>
      </c>
      <c r="EY10" s="154">
        <v>0.3</v>
      </c>
      <c r="EZ10">
        <v>100079.76557739446</v>
      </c>
      <c r="FA10">
        <v>99993.6912020296</v>
      </c>
      <c r="FB10">
        <v>100564.05145067742</v>
      </c>
      <c r="FC10" s="22">
        <v>52049.112281152062</v>
      </c>
      <c r="FE10" s="154">
        <v>0.3</v>
      </c>
      <c r="FF10">
        <v>49178.707446880813</v>
      </c>
      <c r="FG10">
        <v>49068.593757461102</v>
      </c>
      <c r="FH10">
        <v>49810.617226700233</v>
      </c>
      <c r="FI10" s="22">
        <v>26024.556140576031</v>
      </c>
      <c r="FK10" s="154">
        <v>0.3</v>
      </c>
      <c r="FL10">
        <v>150980.8237079081</v>
      </c>
      <c r="FM10">
        <v>150918.78864659811</v>
      </c>
      <c r="FN10">
        <v>151317.48567465463</v>
      </c>
      <c r="FO10" s="22">
        <v>78073.668421728085</v>
      </c>
      <c r="FQ10" s="154">
        <v>0.3</v>
      </c>
      <c r="FR10">
        <v>51701.792113339325</v>
      </c>
      <c r="FS10">
        <v>52036.928659177</v>
      </c>
      <c r="FT10">
        <v>49810.617226700233</v>
      </c>
      <c r="FU10" s="22">
        <v>26024.556140576031</v>
      </c>
      <c r="FW10" s="154">
        <v>0.3</v>
      </c>
      <c r="FX10">
        <v>107255.32323567149</v>
      </c>
      <c r="FY10">
        <v>108435.52374117904</v>
      </c>
      <c r="FZ10">
        <v>100564.05145067742</v>
      </c>
      <c r="GA10" s="22">
        <v>52049.112281152062</v>
      </c>
      <c r="GC10" s="154">
        <v>0.3</v>
      </c>
      <c r="GD10">
        <v>162808.85435800365</v>
      </c>
      <c r="GE10">
        <v>164834.11882318108</v>
      </c>
      <c r="GF10">
        <v>151317.48567465463</v>
      </c>
      <c r="GG10" s="22">
        <v>78073.668421728085</v>
      </c>
      <c r="GI10" s="154">
        <v>0.3</v>
      </c>
      <c r="GJ10">
        <v>51669.481078430726</v>
      </c>
      <c r="GK10">
        <v>47244.751511491675</v>
      </c>
      <c r="GL10">
        <v>49810.617226700233</v>
      </c>
      <c r="GM10" s="22">
        <v>26024.556140576031</v>
      </c>
      <c r="GO10" s="154">
        <v>0.3</v>
      </c>
      <c r="GP10">
        <v>107400.24094085583</v>
      </c>
      <c r="GQ10">
        <v>99120.420821740729</v>
      </c>
      <c r="GR10">
        <v>100564.05145067742</v>
      </c>
      <c r="GS10" s="22">
        <v>52049.112281152062</v>
      </c>
      <c r="GU10" s="154">
        <v>0.3</v>
      </c>
      <c r="GV10">
        <v>163131.00080328091</v>
      </c>
      <c r="GW10">
        <v>150996.09013198983</v>
      </c>
      <c r="GX10">
        <v>151317.48567465463</v>
      </c>
      <c r="GY10" s="22">
        <v>78073.668421728085</v>
      </c>
      <c r="HA10" s="154">
        <v>35000</v>
      </c>
      <c r="HB10">
        <v>190996.38073449349</v>
      </c>
      <c r="HC10">
        <v>193516.66438221009</v>
      </c>
      <c r="HD10">
        <v>176694.2027866432</v>
      </c>
      <c r="HE10" s="22">
        <v>91085.946492016097</v>
      </c>
      <c r="HG10" s="154">
        <v>0.06</v>
      </c>
      <c r="HH10">
        <v>46482.205776749957</v>
      </c>
      <c r="HI10">
        <v>46711.367654921494</v>
      </c>
      <c r="HJ10">
        <v>45193.333269221679</v>
      </c>
      <c r="HK10" s="22">
        <v>23534.101281862142</v>
      </c>
      <c r="HM10" s="154">
        <v>0.06</v>
      </c>
      <c r="HN10">
        <v>97025.690337494292</v>
      </c>
      <c r="HO10">
        <v>98030.919115022785</v>
      </c>
      <c r="HP10">
        <v>91329.483535720312</v>
      </c>
      <c r="HQ10" s="22">
        <v>47068.202563724284</v>
      </c>
      <c r="HS10" s="154">
        <v>0.06</v>
      </c>
      <c r="HT10">
        <v>147569.17489823862</v>
      </c>
      <c r="HU10">
        <v>149350.47057512408</v>
      </c>
      <c r="HV10">
        <v>137465.63380221894</v>
      </c>
      <c r="HW10" s="22">
        <v>70602.30384558643</v>
      </c>
      <c r="HY10" s="154">
        <v>0.06</v>
      </c>
      <c r="HZ10">
        <v>51746.477502851281</v>
      </c>
      <c r="IA10">
        <v>52076.989602942231</v>
      </c>
      <c r="IB10">
        <v>49881.50780877698</v>
      </c>
      <c r="IC10" s="22">
        <v>26024.556140576031</v>
      </c>
      <c r="IE10" s="154">
        <v>0.06</v>
      </c>
      <c r="IF10">
        <v>107477.23736527639</v>
      </c>
      <c r="IG10">
        <v>108684.08908505362</v>
      </c>
      <c r="IH10">
        <v>100634.94203275416</v>
      </c>
      <c r="II10" s="22">
        <v>52049.112281152062</v>
      </c>
      <c r="IK10" s="154">
        <v>0.06</v>
      </c>
      <c r="IL10">
        <v>163207.99722770147</v>
      </c>
      <c r="IM10">
        <v>165291.18856716502</v>
      </c>
      <c r="IN10">
        <v>151388.37625673137</v>
      </c>
      <c r="IO10" s="22">
        <v>78073.668421728085</v>
      </c>
    </row>
    <row r="11" spans="3:249" x14ac:dyDescent="0.2">
      <c r="C11" s="23">
        <v>0.12</v>
      </c>
      <c r="D11" s="125">
        <v>11822.988479827372</v>
      </c>
      <c r="E11" s="125">
        <v>21068.970664262393</v>
      </c>
      <c r="F11" s="125">
        <v>23010.786187367692</v>
      </c>
      <c r="G11" s="22">
        <v>28303.549741055696</v>
      </c>
      <c r="H11" s="137"/>
      <c r="I11" s="23">
        <v>0.12</v>
      </c>
      <c r="J11" s="125">
        <v>26024.556140576031</v>
      </c>
      <c r="K11" s="125">
        <v>49564.144633516553</v>
      </c>
      <c r="L11" s="125">
        <v>51423.0134146989</v>
      </c>
      <c r="M11" s="22">
        <v>51752.505738266533</v>
      </c>
      <c r="O11" s="23">
        <v>0.12</v>
      </c>
      <c r="P11" s="125">
        <v>39036.834210864043</v>
      </c>
      <c r="Q11" s="125">
        <v>74940.861745505157</v>
      </c>
      <c r="R11" s="125">
        <v>79288.393345911434</v>
      </c>
      <c r="S11" s="22">
        <v>80056.05547932224</v>
      </c>
      <c r="U11" s="23">
        <v>0.12</v>
      </c>
      <c r="V11" s="125">
        <v>52049.112281152062</v>
      </c>
      <c r="W11" s="125">
        <v>100317.57885749375</v>
      </c>
      <c r="X11" s="125">
        <v>107153.773277124</v>
      </c>
      <c r="Y11" s="22">
        <v>108359.60522037793</v>
      </c>
      <c r="AA11" s="23">
        <v>0.12</v>
      </c>
      <c r="AB11" s="125">
        <v>65061.390351440074</v>
      </c>
      <c r="AC11" s="125">
        <v>125694.29596948235</v>
      </c>
      <c r="AD11" s="125">
        <v>135019.15320833653</v>
      </c>
      <c r="AE11" s="22">
        <v>136663.15496143364</v>
      </c>
      <c r="AG11" s="23">
        <v>0.12</v>
      </c>
      <c r="AH11" s="125">
        <v>78073.668421728085</v>
      </c>
      <c r="AI11" s="125">
        <v>151071.01308147094</v>
      </c>
      <c r="AJ11" s="125">
        <v>162884.53313954908</v>
      </c>
      <c r="AK11" s="22">
        <v>164966.70470248934</v>
      </c>
      <c r="AM11" s="23">
        <v>0.12</v>
      </c>
      <c r="AN11" s="125">
        <v>91085.946492016097</v>
      </c>
      <c r="AO11" s="125">
        <v>176447.73019345955</v>
      </c>
      <c r="AP11" s="125">
        <v>190749.91307076166</v>
      </c>
      <c r="AQ11" s="22">
        <v>193270.25444354504</v>
      </c>
      <c r="AS11" s="154">
        <v>0.14000000000000001</v>
      </c>
      <c r="AT11">
        <v>100324.54222222199</v>
      </c>
      <c r="AU11">
        <v>104024.52803279999</v>
      </c>
      <c r="AV11">
        <v>104322.675728124</v>
      </c>
      <c r="AW11" s="22">
        <v>103781.585784524</v>
      </c>
      <c r="AY11" s="154">
        <v>0.14000000000000001</v>
      </c>
      <c r="AZ11">
        <v>200649.08444444399</v>
      </c>
      <c r="BA11">
        <v>208195.71649280001</v>
      </c>
      <c r="BB11">
        <v>209154.10808228501</v>
      </c>
      <c r="BC11">
        <v>209404.78893774701</v>
      </c>
      <c r="BD11" s="22">
        <v>208844.08905054699</v>
      </c>
      <c r="BF11" s="154">
        <v>0.14000000000000001</v>
      </c>
      <c r="BG11">
        <v>300973.62666666601</v>
      </c>
      <c r="BH11">
        <v>312366.90495280002</v>
      </c>
      <c r="BI11">
        <v>314097.62158510502</v>
      </c>
      <c r="BJ11">
        <v>314486.90214736998</v>
      </c>
      <c r="BK11" s="22">
        <v>313906.59231656999</v>
      </c>
      <c r="BM11" s="154">
        <v>0.14000000000000001</v>
      </c>
      <c r="BN11">
        <v>73343.571681138797</v>
      </c>
      <c r="BO11">
        <v>73260.229717151655</v>
      </c>
      <c r="BP11">
        <v>73823.775016840402</v>
      </c>
      <c r="BQ11" s="22">
        <v>46205.256529153543</v>
      </c>
      <c r="BS11" s="154">
        <v>0.14000000000000001</v>
      </c>
      <c r="BT11">
        <v>150922.53704656247</v>
      </c>
      <c r="BU11">
        <v>151235.2861608509</v>
      </c>
      <c r="BV11">
        <v>149146.82314514351</v>
      </c>
      <c r="BW11" s="22">
        <v>92410.513058307086</v>
      </c>
      <c r="BY11" s="154">
        <v>0.14000000000000001</v>
      </c>
      <c r="BZ11">
        <v>228501.50241198612</v>
      </c>
      <c r="CA11">
        <v>229210.34260455013</v>
      </c>
      <c r="CB11">
        <v>224469.87127344662</v>
      </c>
      <c r="CC11" s="22">
        <v>138615.76958746064</v>
      </c>
      <c r="CE11" s="154">
        <v>0.35</v>
      </c>
      <c r="CF11">
        <v>49693.816008633614</v>
      </c>
      <c r="CG11">
        <v>49674.603830111453</v>
      </c>
      <c r="CH11">
        <v>49810.617226700233</v>
      </c>
      <c r="CI11" s="22">
        <v>26024.556140576031</v>
      </c>
      <c r="CK11" s="154">
        <v>0.35</v>
      </c>
      <c r="CL11">
        <v>103328.00069686509</v>
      </c>
      <c r="CM11">
        <v>103815.14428375976</v>
      </c>
      <c r="CN11">
        <v>100564.05145067742</v>
      </c>
      <c r="CO11" s="22">
        <v>52049.112281152062</v>
      </c>
      <c r="CQ11" s="154">
        <v>0.35</v>
      </c>
      <c r="CR11">
        <v>156962.18538509659</v>
      </c>
      <c r="CS11">
        <v>157955.68473740807</v>
      </c>
      <c r="CT11">
        <v>151317.48567465463</v>
      </c>
      <c r="CU11" s="22">
        <v>78073.668421728085</v>
      </c>
      <c r="CW11" s="154">
        <v>0.35</v>
      </c>
      <c r="CX11">
        <v>49757.61722670024</v>
      </c>
      <c r="CY11">
        <v>39903.227241385415</v>
      </c>
      <c r="CZ11">
        <v>49810.617226700233</v>
      </c>
      <c r="DA11" s="22">
        <v>26024.556140576031</v>
      </c>
      <c r="DC11" s="154">
        <v>0.35</v>
      </c>
      <c r="DD11" s="125">
        <v>100511.05145067743</v>
      </c>
      <c r="DE11" s="125">
        <v>83180.199555695828</v>
      </c>
      <c r="DF11" s="125">
        <v>100564.05145067742</v>
      </c>
      <c r="DG11" s="22">
        <v>52049.112281152062</v>
      </c>
      <c r="DI11" s="154">
        <v>0.35</v>
      </c>
      <c r="DJ11">
        <v>151264.48567465466</v>
      </c>
      <c r="DK11">
        <v>126457.17187000623</v>
      </c>
      <c r="DL11">
        <v>151317.48567465463</v>
      </c>
      <c r="DM11" s="22">
        <v>78073.668421728085</v>
      </c>
      <c r="DO11" s="154">
        <v>0.35</v>
      </c>
      <c r="DP11">
        <v>51270.669659740095</v>
      </c>
      <c r="DQ11">
        <v>48010.801490025326</v>
      </c>
      <c r="DR11">
        <v>49810.617226700233</v>
      </c>
      <c r="DS11" s="22">
        <v>26024.556140576031</v>
      </c>
      <c r="DU11" s="154">
        <v>0.35</v>
      </c>
      <c r="DV11">
        <v>106602.61810347457</v>
      </c>
      <c r="DW11">
        <v>100629.78678523045</v>
      </c>
      <c r="DX11">
        <v>100564.05145067742</v>
      </c>
      <c r="DY11" s="22">
        <v>52049.112281152062</v>
      </c>
      <c r="EA11" s="154">
        <v>0.35</v>
      </c>
      <c r="EB11">
        <v>161934.56654720905</v>
      </c>
      <c r="EC11">
        <v>153248.77208043559</v>
      </c>
      <c r="ED11">
        <v>151317.48567465463</v>
      </c>
      <c r="EE11" s="22">
        <v>78073.668421728085</v>
      </c>
      <c r="EG11" s="154">
        <v>0.35</v>
      </c>
      <c r="EH11">
        <v>51701.792113339325</v>
      </c>
      <c r="EI11">
        <v>52036.928659177</v>
      </c>
      <c r="EJ11">
        <v>49810.617226700233</v>
      </c>
      <c r="EK11" s="22">
        <v>26024.556140576031</v>
      </c>
      <c r="EM11" s="154">
        <v>0.35</v>
      </c>
      <c r="EN11">
        <v>107255.32323567149</v>
      </c>
      <c r="EO11">
        <v>108435.52374117904</v>
      </c>
      <c r="EP11">
        <v>100564.05145067742</v>
      </c>
      <c r="EQ11" s="22">
        <v>52049.112281152062</v>
      </c>
      <c r="ES11" s="154">
        <v>0.35</v>
      </c>
      <c r="ET11">
        <v>162808.85435800365</v>
      </c>
      <c r="EU11">
        <v>164834.11882318108</v>
      </c>
      <c r="EV11">
        <v>151317.48567465463</v>
      </c>
      <c r="EW11" s="22">
        <v>78073.668421728085</v>
      </c>
      <c r="EY11" s="154">
        <v>0.35</v>
      </c>
      <c r="EZ11">
        <v>100079.76557739446</v>
      </c>
      <c r="FA11">
        <v>99993.6912020296</v>
      </c>
      <c r="FB11">
        <v>100564.05145067742</v>
      </c>
      <c r="FC11" s="22">
        <v>52049.112281152062</v>
      </c>
      <c r="FE11" s="154">
        <v>0.35</v>
      </c>
      <c r="FF11">
        <v>49178.707446880813</v>
      </c>
      <c r="FG11">
        <v>49068.593757461102</v>
      </c>
      <c r="FH11">
        <v>49810.617226700233</v>
      </c>
      <c r="FI11" s="22">
        <v>26024.556140576031</v>
      </c>
      <c r="FK11" s="154">
        <v>0.35</v>
      </c>
      <c r="FL11">
        <v>150980.8237079081</v>
      </c>
      <c r="FM11">
        <v>150918.78864659811</v>
      </c>
      <c r="FN11">
        <v>151317.48567465463</v>
      </c>
      <c r="FO11" s="22">
        <v>78073.668421728085</v>
      </c>
      <c r="FQ11" s="154">
        <v>0.35</v>
      </c>
      <c r="FR11">
        <v>51701.792113339325</v>
      </c>
      <c r="FS11">
        <v>52036.928659177</v>
      </c>
      <c r="FT11">
        <v>49810.617226700233</v>
      </c>
      <c r="FU11" s="22">
        <v>26024.556140576031</v>
      </c>
      <c r="FW11" s="154">
        <v>0.35</v>
      </c>
      <c r="FX11">
        <v>107255.32323567149</v>
      </c>
      <c r="FY11">
        <v>108435.52374117904</v>
      </c>
      <c r="FZ11">
        <v>100564.05145067742</v>
      </c>
      <c r="GA11" s="22">
        <v>52049.112281152062</v>
      </c>
      <c r="GC11" s="154">
        <v>0.35</v>
      </c>
      <c r="GD11">
        <v>162808.85435800365</v>
      </c>
      <c r="GE11">
        <v>164834.11882318108</v>
      </c>
      <c r="GF11">
        <v>151317.48567465463</v>
      </c>
      <c r="GG11" s="22">
        <v>78073.668421728085</v>
      </c>
      <c r="GI11" s="154">
        <v>0.35</v>
      </c>
      <c r="GJ11">
        <v>51669.481078430726</v>
      </c>
      <c r="GK11">
        <v>47839.02203217167</v>
      </c>
      <c r="GL11">
        <v>49810.617226700233</v>
      </c>
      <c r="GM11" s="22">
        <v>26024.556140576031</v>
      </c>
      <c r="GO11" s="154">
        <v>0.35</v>
      </c>
      <c r="GP11">
        <v>107400.24094085583</v>
      </c>
      <c r="GQ11">
        <v>100306.12011390353</v>
      </c>
      <c r="GR11">
        <v>100564.05145067742</v>
      </c>
      <c r="GS11" s="22">
        <v>52049.112281152062</v>
      </c>
      <c r="GU11" s="154">
        <v>0.35</v>
      </c>
      <c r="GV11">
        <v>163131.00080328091</v>
      </c>
      <c r="GW11">
        <v>152773.21819563536</v>
      </c>
      <c r="GX11">
        <v>151317.48567465463</v>
      </c>
      <c r="GY11" s="22">
        <v>78073.668421728085</v>
      </c>
      <c r="HA11" s="154">
        <v>40000</v>
      </c>
      <c r="HB11">
        <v>218861.76066570604</v>
      </c>
      <c r="HC11">
        <v>221820.21412326576</v>
      </c>
      <c r="HD11">
        <v>202070.91989863181</v>
      </c>
      <c r="HE11" s="22">
        <v>104098.22456230412</v>
      </c>
      <c r="HG11" s="154">
        <v>7.0000000000000007E-2</v>
      </c>
      <c r="HH11">
        <v>44630.378002137179</v>
      </c>
      <c r="HI11">
        <v>44821.64715789722</v>
      </c>
      <c r="HJ11">
        <v>43556.826866203119</v>
      </c>
      <c r="HK11" s="22">
        <v>22672.635293456875</v>
      </c>
      <c r="HM11" s="154">
        <v>7.0000000000000007E-2</v>
      </c>
      <c r="HN11">
        <v>93322.034788268735</v>
      </c>
      <c r="HO11">
        <v>94251.478120974236</v>
      </c>
      <c r="HP11">
        <v>88056.470729683191</v>
      </c>
      <c r="HQ11" s="22">
        <v>45345.27058691375</v>
      </c>
      <c r="HS11" s="154">
        <v>7.0000000000000007E-2</v>
      </c>
      <c r="HT11">
        <v>142013.69157440029</v>
      </c>
      <c r="HU11">
        <v>143681.30908405126</v>
      </c>
      <c r="HV11">
        <v>132556.11459316328</v>
      </c>
      <c r="HW11" s="22">
        <v>68017.905880370628</v>
      </c>
      <c r="HY11" s="154">
        <v>7.0000000000000007E-2</v>
      </c>
      <c r="HZ11">
        <v>51773.943455186658</v>
      </c>
      <c r="IA11">
        <v>52104.727662541249</v>
      </c>
      <c r="IB11">
        <v>49907.431819951671</v>
      </c>
      <c r="IC11" s="22">
        <v>26024.556140576031</v>
      </c>
      <c r="IE11" s="154">
        <v>7.0000000000000007E-2</v>
      </c>
      <c r="IF11">
        <v>107504.70331761175</v>
      </c>
      <c r="IG11">
        <v>108711.82714465265</v>
      </c>
      <c r="IH11">
        <v>100660.86604392885</v>
      </c>
      <c r="II11" s="22">
        <v>52049.112281152062</v>
      </c>
      <c r="IK11" s="154">
        <v>7.0000000000000007E-2</v>
      </c>
      <c r="IL11">
        <v>163235.46318003684</v>
      </c>
      <c r="IM11">
        <v>165318.92662676406</v>
      </c>
      <c r="IN11">
        <v>151414.30026790604</v>
      </c>
      <c r="IO11" s="22">
        <v>78073.668421728085</v>
      </c>
    </row>
    <row r="12" spans="3:249" x14ac:dyDescent="0.2">
      <c r="C12" s="23">
        <v>0.14000000000000001</v>
      </c>
      <c r="D12" s="125">
        <v>11822.988479827372</v>
      </c>
      <c r="E12" s="125">
        <v>21068.970664262393</v>
      </c>
      <c r="F12" s="125">
        <v>23010.786187367692</v>
      </c>
      <c r="G12" s="22">
        <v>28303.549741055696</v>
      </c>
      <c r="H12" s="137"/>
      <c r="I12" s="23">
        <v>0.14000000000000001</v>
      </c>
      <c r="J12" s="125">
        <v>26024.556140576031</v>
      </c>
      <c r="K12" s="125">
        <v>49564.144633516553</v>
      </c>
      <c r="L12" s="125">
        <v>51423.0134146989</v>
      </c>
      <c r="M12" s="22">
        <v>51752.505738266533</v>
      </c>
      <c r="O12" s="23">
        <v>0.14000000000000001</v>
      </c>
      <c r="P12" s="125">
        <v>39036.834210864043</v>
      </c>
      <c r="Q12" s="125">
        <v>74940.861745505157</v>
      </c>
      <c r="R12" s="125">
        <v>79288.393345911434</v>
      </c>
      <c r="S12" s="22">
        <v>80056.05547932224</v>
      </c>
      <c r="U12" s="23">
        <v>0.14000000000000001</v>
      </c>
      <c r="V12" s="125">
        <v>52049.112281152062</v>
      </c>
      <c r="W12" s="125">
        <v>100317.57885749375</v>
      </c>
      <c r="X12" s="125">
        <v>107153.773277124</v>
      </c>
      <c r="Y12" s="22">
        <v>108359.60522037793</v>
      </c>
      <c r="AA12" s="23">
        <v>0.14000000000000001</v>
      </c>
      <c r="AB12" s="125">
        <v>65061.390351440074</v>
      </c>
      <c r="AC12" s="125">
        <v>125694.29596948235</v>
      </c>
      <c r="AD12" s="125">
        <v>135019.15320833653</v>
      </c>
      <c r="AE12" s="22">
        <v>136663.15496143364</v>
      </c>
      <c r="AG12" s="23">
        <v>0.14000000000000001</v>
      </c>
      <c r="AH12" s="125">
        <v>78073.668421728085</v>
      </c>
      <c r="AI12" s="125">
        <v>151071.01308147094</v>
      </c>
      <c r="AJ12" s="125">
        <v>162884.53313954908</v>
      </c>
      <c r="AK12" s="22">
        <v>164966.70470248934</v>
      </c>
      <c r="AM12" s="23">
        <v>0.14000000000000001</v>
      </c>
      <c r="AN12" s="125">
        <v>91085.946492016097</v>
      </c>
      <c r="AO12" s="125">
        <v>176447.73019345955</v>
      </c>
      <c r="AP12" s="125">
        <v>190749.91307076166</v>
      </c>
      <c r="AQ12" s="22">
        <v>193270.25444354504</v>
      </c>
      <c r="AS12" s="154">
        <v>0.16</v>
      </c>
      <c r="AT12">
        <v>98369.291111111103</v>
      </c>
      <c r="AU12">
        <v>102597.846323199</v>
      </c>
      <c r="AV12">
        <v>102946.15797499901</v>
      </c>
      <c r="AW12" s="22">
        <v>102418.884076599</v>
      </c>
      <c r="AY12" s="154">
        <v>0.16</v>
      </c>
      <c r="AZ12">
        <v>196738.582222222</v>
      </c>
      <c r="BA12">
        <v>205363.304563199</v>
      </c>
      <c r="BB12">
        <v>206476.37501575399</v>
      </c>
      <c r="BC12">
        <v>206752.673071711</v>
      </c>
      <c r="BD12" s="22">
        <v>206206.24527491099</v>
      </c>
      <c r="BF12" s="154">
        <v>0.16</v>
      </c>
      <c r="BG12">
        <v>295107.873333333</v>
      </c>
      <c r="BH12">
        <v>308128.76280319999</v>
      </c>
      <c r="BI12">
        <v>310124.81619411998</v>
      </c>
      <c r="BJ12">
        <v>310559.18816842302</v>
      </c>
      <c r="BK12" s="22">
        <v>309993.60647322302</v>
      </c>
      <c r="BM12" s="154">
        <v>0.16</v>
      </c>
      <c r="BN12">
        <v>72773.200875804367</v>
      </c>
      <c r="BO12">
        <v>72700.721452935322</v>
      </c>
      <c r="BP12">
        <v>73191.849811836699</v>
      </c>
      <c r="BQ12" s="22">
        <v>45674.185466296243</v>
      </c>
      <c r="BS12" s="154">
        <v>0.16</v>
      </c>
      <c r="BT12">
        <v>149777.2134648333</v>
      </c>
      <c r="BU12">
        <v>150113.46323975068</v>
      </c>
      <c r="BV12">
        <v>147868.32915318388</v>
      </c>
      <c r="BW12" s="22">
        <v>91348.370932592486</v>
      </c>
      <c r="BY12" s="154">
        <v>0.16</v>
      </c>
      <c r="BZ12">
        <v>226781.22605386225</v>
      </c>
      <c r="CA12">
        <v>227526.20502656602</v>
      </c>
      <c r="CB12">
        <v>222544.80849453105</v>
      </c>
      <c r="CC12" s="22">
        <v>137022.55639888873</v>
      </c>
      <c r="CE12" s="154">
        <v>0.4</v>
      </c>
      <c r="CF12">
        <v>49411.336015811605</v>
      </c>
      <c r="CG12">
        <v>49342.274426791453</v>
      </c>
      <c r="CH12">
        <v>49810.617226700233</v>
      </c>
      <c r="CI12" s="22">
        <v>26024.556140576031</v>
      </c>
      <c r="CK12" s="154">
        <v>0.4</v>
      </c>
      <c r="CL12">
        <v>102745.75302114437</v>
      </c>
      <c r="CM12">
        <v>103130.14701820599</v>
      </c>
      <c r="CN12">
        <v>100564.05145067742</v>
      </c>
      <c r="CO12" s="22">
        <v>52049.112281152062</v>
      </c>
      <c r="CQ12" s="154">
        <v>0.4</v>
      </c>
      <c r="CR12">
        <v>156080.17002647714</v>
      </c>
      <c r="CS12">
        <v>156918.0196096205</v>
      </c>
      <c r="CT12">
        <v>151317.48567465463</v>
      </c>
      <c r="CU12" s="22">
        <v>78073.668421728085</v>
      </c>
      <c r="CW12" s="154">
        <v>0.4</v>
      </c>
      <c r="CX12">
        <v>49757.61722670024</v>
      </c>
      <c r="CY12">
        <v>38170.320588728362</v>
      </c>
      <c r="CZ12">
        <v>49810.617226700233</v>
      </c>
      <c r="DA12" s="22">
        <v>26024.556140576031</v>
      </c>
      <c r="DC12" s="154">
        <v>0.4</v>
      </c>
      <c r="DD12" s="125">
        <v>100511.05145067743</v>
      </c>
      <c r="DE12" s="125">
        <v>79537.532563812274</v>
      </c>
      <c r="DF12" s="125">
        <v>100564.05145067742</v>
      </c>
      <c r="DG12" s="22">
        <v>52049.112281152062</v>
      </c>
      <c r="DI12" s="154">
        <v>0.4</v>
      </c>
      <c r="DJ12">
        <v>151264.48567465466</v>
      </c>
      <c r="DK12">
        <v>120904.74453889618</v>
      </c>
      <c r="DL12">
        <v>151317.48567465463</v>
      </c>
      <c r="DM12" s="22">
        <v>78073.668421728085</v>
      </c>
      <c r="DO12" s="154">
        <v>0.4</v>
      </c>
      <c r="DP12">
        <v>51213.664025278878</v>
      </c>
      <c r="DQ12">
        <v>47440.745145413217</v>
      </c>
      <c r="DR12">
        <v>49810.617226700233</v>
      </c>
      <c r="DS12" s="22">
        <v>26024.556140576031</v>
      </c>
      <c r="DU12" s="154">
        <v>0.4</v>
      </c>
      <c r="DV12">
        <v>106488.60683455213</v>
      </c>
      <c r="DW12">
        <v>99489.674096006231</v>
      </c>
      <c r="DX12">
        <v>100564.05145067742</v>
      </c>
      <c r="DY12" s="22">
        <v>52049.112281152062</v>
      </c>
      <c r="EA12" s="154">
        <v>0.4</v>
      </c>
      <c r="EB12">
        <v>161763.54964382539</v>
      </c>
      <c r="EC12">
        <v>151538.60304659925</v>
      </c>
      <c r="ED12">
        <v>151317.48567465463</v>
      </c>
      <c r="EE12" s="22">
        <v>78073.668421728085</v>
      </c>
      <c r="EG12" s="154">
        <v>0.4</v>
      </c>
      <c r="EH12">
        <v>51701.792113339325</v>
      </c>
      <c r="EI12">
        <v>52036.928659177</v>
      </c>
      <c r="EJ12">
        <v>49810.617226700233</v>
      </c>
      <c r="EK12" s="22">
        <v>26024.556140576031</v>
      </c>
      <c r="EM12" s="154">
        <v>0.4</v>
      </c>
      <c r="EN12">
        <v>107255.32323567149</v>
      </c>
      <c r="EO12">
        <v>108435.52374117904</v>
      </c>
      <c r="EP12">
        <v>100564.05145067742</v>
      </c>
      <c r="EQ12" s="22">
        <v>52049.112281152062</v>
      </c>
      <c r="ES12" s="154">
        <v>0.4</v>
      </c>
      <c r="ET12">
        <v>162808.85435800365</v>
      </c>
      <c r="EU12">
        <v>164834.11882318108</v>
      </c>
      <c r="EV12">
        <v>151317.48567465463</v>
      </c>
      <c r="EW12" s="22">
        <v>78073.668421728085</v>
      </c>
      <c r="EY12" s="154">
        <v>0.4</v>
      </c>
      <c r="EZ12">
        <v>100079.76557739446</v>
      </c>
      <c r="FA12">
        <v>99993.6912020296</v>
      </c>
      <c r="FB12">
        <v>100564.05145067742</v>
      </c>
      <c r="FC12" s="22">
        <v>52049.112281152062</v>
      </c>
      <c r="FE12" s="154">
        <v>0.4</v>
      </c>
      <c r="FF12">
        <v>49178.707446880813</v>
      </c>
      <c r="FG12">
        <v>49068.593757461102</v>
      </c>
      <c r="FH12">
        <v>49810.617226700233</v>
      </c>
      <c r="FI12" s="22">
        <v>26024.556140576031</v>
      </c>
      <c r="FK12" s="154">
        <v>0.4</v>
      </c>
      <c r="FL12">
        <v>150980.8237079081</v>
      </c>
      <c r="FM12">
        <v>150918.78864659811</v>
      </c>
      <c r="FN12">
        <v>151317.48567465463</v>
      </c>
      <c r="FO12" s="22">
        <v>78073.668421728085</v>
      </c>
      <c r="FQ12" s="154">
        <v>0.4</v>
      </c>
      <c r="FR12">
        <v>51701.792113339325</v>
      </c>
      <c r="FS12">
        <v>52036.928659177</v>
      </c>
      <c r="FT12">
        <v>49810.617226700233</v>
      </c>
      <c r="FU12" s="22">
        <v>26024.556140576031</v>
      </c>
      <c r="FW12" s="154">
        <v>0.4</v>
      </c>
      <c r="FX12">
        <v>107255.32323567149</v>
      </c>
      <c r="FY12">
        <v>108435.52374117904</v>
      </c>
      <c r="FZ12">
        <v>100564.05145067742</v>
      </c>
      <c r="GA12" s="22">
        <v>52049.112281152062</v>
      </c>
      <c r="GC12" s="154">
        <v>0.4</v>
      </c>
      <c r="GD12">
        <v>162808.85435800365</v>
      </c>
      <c r="GE12">
        <v>164834.11882318108</v>
      </c>
      <c r="GF12">
        <v>151317.48567465463</v>
      </c>
      <c r="GG12" s="22">
        <v>78073.668421728085</v>
      </c>
      <c r="GI12" s="154">
        <v>0.4</v>
      </c>
      <c r="GJ12">
        <v>51669.481078430726</v>
      </c>
      <c r="GK12">
        <v>48433.29255285165</v>
      </c>
      <c r="GL12">
        <v>49810.617226700233</v>
      </c>
      <c r="GM12" s="22">
        <v>26024.556140576031</v>
      </c>
      <c r="GO12" s="154">
        <v>0.4</v>
      </c>
      <c r="GP12">
        <v>107400.24094085583</v>
      </c>
      <c r="GQ12">
        <v>101491.81940606629</v>
      </c>
      <c r="GR12">
        <v>100564.05145067742</v>
      </c>
      <c r="GS12" s="22">
        <v>52049.112281152062</v>
      </c>
      <c r="GU12" s="154">
        <v>0.4</v>
      </c>
      <c r="GV12">
        <v>163131.00080328091</v>
      </c>
      <c r="GW12">
        <v>154550.34625928092</v>
      </c>
      <c r="GX12">
        <v>151317.48567465463</v>
      </c>
      <c r="GY12" s="22">
        <v>78073.668421728085</v>
      </c>
      <c r="HA12" s="154">
        <v>45000</v>
      </c>
      <c r="HB12">
        <v>246727.14059691859</v>
      </c>
      <c r="HC12">
        <v>250123.76386432146</v>
      </c>
      <c r="HD12">
        <v>227447.63701062041</v>
      </c>
      <c r="HE12" s="22">
        <v>117110.50263259214</v>
      </c>
      <c r="HG12" s="154">
        <v>0.08</v>
      </c>
      <c r="HH12">
        <v>42890.143780490318</v>
      </c>
      <c r="HI12">
        <v>43044.869011974093</v>
      </c>
      <c r="HJ12">
        <v>42024.215844532511</v>
      </c>
      <c r="HK12" s="22">
        <v>21876.081798180483</v>
      </c>
      <c r="HM12" s="154">
        <v>0.08</v>
      </c>
      <c r="HN12">
        <v>89841.566344975014</v>
      </c>
      <c r="HO12">
        <v>90697.921829127983</v>
      </c>
      <c r="HP12">
        <v>84991.248686341976</v>
      </c>
      <c r="HQ12" s="22">
        <v>43752.163596360966</v>
      </c>
      <c r="HS12" s="154">
        <v>0.08</v>
      </c>
      <c r="HT12">
        <v>136792.9889094597</v>
      </c>
      <c r="HU12">
        <v>138350.97464628186</v>
      </c>
      <c r="HV12">
        <v>127958.28152815143</v>
      </c>
      <c r="HW12" s="22">
        <v>65628.24539454146</v>
      </c>
      <c r="HY12" s="154">
        <v>0.08</v>
      </c>
      <c r="HZ12">
        <v>51799.730852548317</v>
      </c>
      <c r="IA12">
        <v>52130.712269121766</v>
      </c>
      <c r="IB12">
        <v>49932.101698406463</v>
      </c>
      <c r="IC12" s="22">
        <v>26024.556140576031</v>
      </c>
      <c r="IE12" s="154">
        <v>0.08</v>
      </c>
      <c r="IF12">
        <v>107530.49071497342</v>
      </c>
      <c r="IG12">
        <v>108737.81175123317</v>
      </c>
      <c r="IH12">
        <v>100685.53592238364</v>
      </c>
      <c r="II12" s="22">
        <v>52049.112281152062</v>
      </c>
      <c r="IK12" s="154">
        <v>0.08</v>
      </c>
      <c r="IL12">
        <v>163261.25057739849</v>
      </c>
      <c r="IM12">
        <v>165344.91123334458</v>
      </c>
      <c r="IN12">
        <v>151438.97014636084</v>
      </c>
      <c r="IO12" s="22">
        <v>78073.668421728085</v>
      </c>
    </row>
    <row r="13" spans="3:249" x14ac:dyDescent="0.2">
      <c r="C13" s="23">
        <v>0.16</v>
      </c>
      <c r="D13" s="125">
        <v>11822.988479827372</v>
      </c>
      <c r="E13" s="125">
        <v>21068.970664262393</v>
      </c>
      <c r="F13" s="125">
        <v>23010.786187367692</v>
      </c>
      <c r="G13" s="22">
        <v>28303.549741055696</v>
      </c>
      <c r="H13" s="137"/>
      <c r="I13" s="23">
        <v>0.16</v>
      </c>
      <c r="J13" s="125">
        <v>26024.556140576031</v>
      </c>
      <c r="K13" s="125">
        <v>49564.144633516553</v>
      </c>
      <c r="L13" s="125">
        <v>51423.0134146989</v>
      </c>
      <c r="M13" s="22">
        <v>51752.505738266533</v>
      </c>
      <c r="O13" s="23">
        <v>0.16</v>
      </c>
      <c r="P13" s="125">
        <v>39036.834210864043</v>
      </c>
      <c r="Q13" s="125">
        <v>74940.861745505157</v>
      </c>
      <c r="R13" s="125">
        <v>79288.393345911434</v>
      </c>
      <c r="S13" s="22">
        <v>80056.05547932224</v>
      </c>
      <c r="U13" s="23">
        <v>0.16</v>
      </c>
      <c r="V13" s="125">
        <v>52049.112281152062</v>
      </c>
      <c r="W13" s="125">
        <v>100317.57885749375</v>
      </c>
      <c r="X13" s="125">
        <v>107153.773277124</v>
      </c>
      <c r="Y13" s="22">
        <v>108359.60522037793</v>
      </c>
      <c r="AA13" s="23">
        <v>0.16</v>
      </c>
      <c r="AB13" s="125">
        <v>65061.390351440074</v>
      </c>
      <c r="AC13" s="125">
        <v>125694.29596948235</v>
      </c>
      <c r="AD13" s="125">
        <v>135019.15320833653</v>
      </c>
      <c r="AE13" s="22">
        <v>136663.15496143364</v>
      </c>
      <c r="AG13" s="23">
        <v>0.16</v>
      </c>
      <c r="AH13" s="125">
        <v>78073.668421728085</v>
      </c>
      <c r="AI13" s="125">
        <v>151071.01308147094</v>
      </c>
      <c r="AJ13" s="125">
        <v>162884.53313954908</v>
      </c>
      <c r="AK13" s="22">
        <v>164966.70470248934</v>
      </c>
      <c r="AM13" s="23">
        <v>0.16</v>
      </c>
      <c r="AN13" s="125">
        <v>91085.946492016097</v>
      </c>
      <c r="AO13" s="125">
        <v>176447.73019345955</v>
      </c>
      <c r="AP13" s="125">
        <v>190749.91307076166</v>
      </c>
      <c r="AQ13" s="22">
        <v>193270.25444354504</v>
      </c>
      <c r="AS13" s="154">
        <v>0.18</v>
      </c>
      <c r="AT13">
        <v>96414.04</v>
      </c>
      <c r="AU13">
        <v>101171.16461360001</v>
      </c>
      <c r="AV13">
        <v>101569.64022187301</v>
      </c>
      <c r="AW13" s="22">
        <v>101056.18236867301</v>
      </c>
      <c r="AY13" s="154">
        <v>0.18</v>
      </c>
      <c r="AZ13">
        <v>192828.08</v>
      </c>
      <c r="BA13">
        <v>202530.89263359999</v>
      </c>
      <c r="BB13">
        <v>203798.64194922399</v>
      </c>
      <c r="BC13">
        <v>204100.557205675</v>
      </c>
      <c r="BD13" s="22">
        <v>203568.401499275</v>
      </c>
      <c r="BF13" s="154">
        <v>0.18</v>
      </c>
      <c r="BG13">
        <v>289242.12</v>
      </c>
      <c r="BH13">
        <v>303890.62065360002</v>
      </c>
      <c r="BI13">
        <v>306152.010803135</v>
      </c>
      <c r="BJ13">
        <v>306631.47418947599</v>
      </c>
      <c r="BK13" s="22">
        <v>306080.62062987598</v>
      </c>
      <c r="BM13" s="154">
        <v>0.18</v>
      </c>
      <c r="BN13">
        <v>72202.830070469965</v>
      </c>
      <c r="BO13">
        <v>72141.213188719004</v>
      </c>
      <c r="BP13">
        <v>72559.924606833025</v>
      </c>
      <c r="BQ13" s="22">
        <v>45143.114403438936</v>
      </c>
      <c r="BS13" s="154">
        <v>0.18</v>
      </c>
      <c r="BT13">
        <v>148631.88988310422</v>
      </c>
      <c r="BU13">
        <v>148991.64031865046</v>
      </c>
      <c r="BV13">
        <v>146589.83516122427</v>
      </c>
      <c r="BW13" s="22">
        <v>90286.228806877873</v>
      </c>
      <c r="BY13" s="154">
        <v>0.18</v>
      </c>
      <c r="BZ13">
        <v>225060.9496957385</v>
      </c>
      <c r="CA13">
        <v>225842.06744858192</v>
      </c>
      <c r="CB13">
        <v>220619.74571561549</v>
      </c>
      <c r="CC13" s="22">
        <v>135429.34321031682</v>
      </c>
      <c r="CE13" s="154">
        <v>0.45</v>
      </c>
      <c r="CF13">
        <v>49128.856022989603</v>
      </c>
      <c r="CG13">
        <v>49009.945023471439</v>
      </c>
      <c r="CH13">
        <v>49810.617226700233</v>
      </c>
      <c r="CI13" s="22">
        <v>26024.556140576031</v>
      </c>
      <c r="CK13" s="154">
        <v>0.45</v>
      </c>
      <c r="CL13">
        <v>102163.50534542365</v>
      </c>
      <c r="CM13">
        <v>102445.14975265217</v>
      </c>
      <c r="CN13">
        <v>100564.05145067742</v>
      </c>
      <c r="CO13" s="22">
        <v>52049.112281152062</v>
      </c>
      <c r="CQ13" s="154">
        <v>0.45</v>
      </c>
      <c r="CR13">
        <v>155198.15466785766</v>
      </c>
      <c r="CS13">
        <v>155880.35448183291</v>
      </c>
      <c r="CT13">
        <v>151317.48567465463</v>
      </c>
      <c r="CU13" s="22">
        <v>78073.668421728085</v>
      </c>
      <c r="CW13" s="154">
        <v>0.45</v>
      </c>
      <c r="CX13">
        <v>49757.61722670024</v>
      </c>
      <c r="CY13">
        <v>36437.413936071323</v>
      </c>
      <c r="CZ13">
        <v>49810.617226700233</v>
      </c>
      <c r="DA13" s="22">
        <v>26024.556140576031</v>
      </c>
      <c r="DC13" s="154">
        <v>0.45</v>
      </c>
      <c r="DD13" s="125">
        <v>100511.05145067743</v>
      </c>
      <c r="DE13" s="125">
        <v>75894.865571928734</v>
      </c>
      <c r="DF13" s="125">
        <v>100564.05145067742</v>
      </c>
      <c r="DG13" s="22">
        <v>52049.112281152062</v>
      </c>
      <c r="DI13" s="154">
        <v>0.45</v>
      </c>
      <c r="DJ13">
        <v>151264.48567465466</v>
      </c>
      <c r="DK13">
        <v>115352.31720778614</v>
      </c>
      <c r="DL13">
        <v>151317.48567465463</v>
      </c>
      <c r="DM13" s="22">
        <v>78073.668421728085</v>
      </c>
      <c r="DO13" s="154">
        <v>0.45</v>
      </c>
      <c r="DP13">
        <v>51156.658390817669</v>
      </c>
      <c r="DQ13">
        <v>46870.688800801116</v>
      </c>
      <c r="DR13">
        <v>49810.617226700233</v>
      </c>
      <c r="DS13" s="22">
        <v>26024.556140576031</v>
      </c>
      <c r="DU13" s="154">
        <v>0.45</v>
      </c>
      <c r="DV13">
        <v>106374.59556562972</v>
      </c>
      <c r="DW13">
        <v>98349.561406782028</v>
      </c>
      <c r="DX13">
        <v>100564.05145067742</v>
      </c>
      <c r="DY13" s="22">
        <v>52049.112281152062</v>
      </c>
      <c r="EA13" s="154">
        <v>0.45</v>
      </c>
      <c r="EB13">
        <v>161592.53274044176</v>
      </c>
      <c r="EC13">
        <v>149828.43401276297</v>
      </c>
      <c r="ED13">
        <v>151317.48567465463</v>
      </c>
      <c r="EE13" s="22">
        <v>78073.668421728085</v>
      </c>
      <c r="EG13" s="154">
        <v>0.45</v>
      </c>
      <c r="EH13">
        <v>51701.792113339325</v>
      </c>
      <c r="EI13">
        <v>52036.928659177</v>
      </c>
      <c r="EJ13">
        <v>49810.617226700233</v>
      </c>
      <c r="EK13" s="22">
        <v>26024.556140576031</v>
      </c>
      <c r="EM13" s="154">
        <v>0.45</v>
      </c>
      <c r="EN13">
        <v>107255.32323567149</v>
      </c>
      <c r="EO13">
        <v>108435.52374117904</v>
      </c>
      <c r="EP13">
        <v>100564.05145067742</v>
      </c>
      <c r="EQ13" s="22">
        <v>52049.112281152062</v>
      </c>
      <c r="ES13" s="154">
        <v>0.45</v>
      </c>
      <c r="ET13">
        <v>162808.85435800365</v>
      </c>
      <c r="EU13">
        <v>164834.11882318108</v>
      </c>
      <c r="EV13">
        <v>151317.48567465463</v>
      </c>
      <c r="EW13" s="22">
        <v>78073.668421728085</v>
      </c>
      <c r="EY13" s="154">
        <v>0.45</v>
      </c>
      <c r="EZ13">
        <v>100079.76557739446</v>
      </c>
      <c r="FA13">
        <v>99993.6912020296</v>
      </c>
      <c r="FB13">
        <v>100564.05145067742</v>
      </c>
      <c r="FC13" s="22">
        <v>52049.112281152062</v>
      </c>
      <c r="FE13" s="154">
        <v>0.45</v>
      </c>
      <c r="FF13">
        <v>49178.707446880813</v>
      </c>
      <c r="FG13">
        <v>49068.593757461102</v>
      </c>
      <c r="FH13">
        <v>49810.617226700233</v>
      </c>
      <c r="FI13" s="22">
        <v>26024.556140576031</v>
      </c>
      <c r="FK13" s="154">
        <v>0.45</v>
      </c>
      <c r="FL13">
        <v>150980.8237079081</v>
      </c>
      <c r="FM13">
        <v>150918.78864659811</v>
      </c>
      <c r="FN13">
        <v>151317.48567465463</v>
      </c>
      <c r="FO13" s="22">
        <v>78073.668421728085</v>
      </c>
      <c r="FQ13" s="154">
        <v>0.45</v>
      </c>
      <c r="FR13">
        <v>51477.561078062179</v>
      </c>
      <c r="FS13">
        <v>51773.127441203884</v>
      </c>
      <c r="FT13">
        <v>49810.617226700233</v>
      </c>
      <c r="FU13" s="22">
        <v>26024.556140576031</v>
      </c>
      <c r="FW13" s="154">
        <v>0.45</v>
      </c>
      <c r="FX13">
        <v>107042.80633839483</v>
      </c>
      <c r="FY13">
        <v>108185.50386203003</v>
      </c>
      <c r="FZ13">
        <v>100564.05145067742</v>
      </c>
      <c r="GA13" s="22">
        <v>52049.112281152062</v>
      </c>
      <c r="GC13" s="154">
        <v>0.45</v>
      </c>
      <c r="GD13">
        <v>162608.05159872747</v>
      </c>
      <c r="GE13">
        <v>164597.88028285617</v>
      </c>
      <c r="GF13">
        <v>151317.48567465463</v>
      </c>
      <c r="GG13" s="22">
        <v>78073.668421728085</v>
      </c>
      <c r="GI13" s="154">
        <v>0.45</v>
      </c>
      <c r="GJ13">
        <v>51669.481078430726</v>
      </c>
      <c r="GK13">
        <v>49027.563073531637</v>
      </c>
      <c r="GL13">
        <v>49810.617226700233</v>
      </c>
      <c r="GM13" s="22">
        <v>26024.556140576031</v>
      </c>
      <c r="GO13" s="154">
        <v>0.45</v>
      </c>
      <c r="GP13">
        <v>107400.24094085583</v>
      </c>
      <c r="GQ13">
        <v>102677.51869822908</v>
      </c>
      <c r="GR13">
        <v>100564.05145067742</v>
      </c>
      <c r="GS13" s="22">
        <v>52049.112281152062</v>
      </c>
      <c r="GU13" s="154">
        <v>0.45</v>
      </c>
      <c r="GV13">
        <v>163131.00080328091</v>
      </c>
      <c r="GW13">
        <v>156327.47432292649</v>
      </c>
      <c r="GX13">
        <v>151317.48567465463</v>
      </c>
      <c r="GY13" s="22">
        <v>78073.668421728085</v>
      </c>
      <c r="HA13" s="154">
        <v>50000</v>
      </c>
      <c r="HB13">
        <v>274592.52052813111</v>
      </c>
      <c r="HC13">
        <v>278427.31360537722</v>
      </c>
      <c r="HD13">
        <v>252824.35412260899</v>
      </c>
      <c r="HE13" s="22">
        <v>130122.78070288015</v>
      </c>
      <c r="HG13" s="154">
        <v>0.09</v>
      </c>
      <c r="HH13">
        <v>41252.425826395069</v>
      </c>
      <c r="HI13">
        <v>41371.981653032293</v>
      </c>
      <c r="HJ13">
        <v>40586.283306568017</v>
      </c>
      <c r="HK13" s="22">
        <v>21137.756259692971</v>
      </c>
      <c r="HM13" s="154">
        <v>0.09</v>
      </c>
      <c r="HN13">
        <v>86566.130436784515</v>
      </c>
      <c r="HO13">
        <v>87352.147111244383</v>
      </c>
      <c r="HP13">
        <v>82115.383610412988</v>
      </c>
      <c r="HQ13" s="22">
        <v>42275.512519385942</v>
      </c>
      <c r="HS13" s="154">
        <v>0.09</v>
      </c>
      <c r="HT13">
        <v>131879.83504717395</v>
      </c>
      <c r="HU13">
        <v>133332.3125694565</v>
      </c>
      <c r="HV13">
        <v>123644.48391425796</v>
      </c>
      <c r="HW13" s="22">
        <v>63413.26877907892</v>
      </c>
      <c r="HY13" s="154">
        <v>0.09</v>
      </c>
      <c r="HZ13">
        <v>51823.970976091681</v>
      </c>
      <c r="IA13">
        <v>52155.083657715666</v>
      </c>
      <c r="IB13">
        <v>49955.597986663481</v>
      </c>
      <c r="IC13" s="22">
        <v>26024.556140576031</v>
      </c>
      <c r="IE13" s="154">
        <v>0.09</v>
      </c>
      <c r="IF13">
        <v>107554.73083851679</v>
      </c>
      <c r="IG13">
        <v>108762.18313982706</v>
      </c>
      <c r="IH13">
        <v>100709.03221064067</v>
      </c>
      <c r="II13" s="22">
        <v>52049.112281152062</v>
      </c>
      <c r="IK13" s="154">
        <v>0.09</v>
      </c>
      <c r="IL13">
        <v>163285.49070094188</v>
      </c>
      <c r="IM13">
        <v>165369.28262193847</v>
      </c>
      <c r="IN13">
        <v>151462.46643461785</v>
      </c>
      <c r="IO13" s="22">
        <v>78073.668421728085</v>
      </c>
    </row>
    <row r="14" spans="3:249" x14ac:dyDescent="0.2">
      <c r="C14" s="23">
        <v>0.18</v>
      </c>
      <c r="D14" s="125">
        <v>11822.988479827372</v>
      </c>
      <c r="E14" s="125">
        <v>21068.970664262393</v>
      </c>
      <c r="F14" s="125">
        <v>23010.786187367692</v>
      </c>
      <c r="G14" s="22">
        <v>28303.549741055696</v>
      </c>
      <c r="H14" s="137"/>
      <c r="I14" s="23">
        <v>0.18</v>
      </c>
      <c r="J14" s="125">
        <v>26024.556140576031</v>
      </c>
      <c r="K14" s="125">
        <v>49564.144633516553</v>
      </c>
      <c r="L14" s="125">
        <v>51423.0134146989</v>
      </c>
      <c r="M14" s="22">
        <v>51752.505738266533</v>
      </c>
      <c r="O14" s="23">
        <v>0.18</v>
      </c>
      <c r="P14" s="125">
        <v>39036.834210864043</v>
      </c>
      <c r="Q14" s="125">
        <v>74940.861745505157</v>
      </c>
      <c r="R14" s="125">
        <v>79288.393345911434</v>
      </c>
      <c r="S14" s="22">
        <v>80056.05547932224</v>
      </c>
      <c r="U14" s="23">
        <v>0.18</v>
      </c>
      <c r="V14" s="125">
        <v>52049.112281152062</v>
      </c>
      <c r="W14" s="125">
        <v>100317.57885749375</v>
      </c>
      <c r="X14" s="125">
        <v>107153.773277124</v>
      </c>
      <c r="Y14" s="22">
        <v>108359.60522037793</v>
      </c>
      <c r="AA14" s="23">
        <v>0.18</v>
      </c>
      <c r="AB14" s="125">
        <v>65061.390351440074</v>
      </c>
      <c r="AC14" s="125">
        <v>125694.29596948235</v>
      </c>
      <c r="AD14" s="125">
        <v>135019.15320833653</v>
      </c>
      <c r="AE14" s="22">
        <v>136663.15496143364</v>
      </c>
      <c r="AG14" s="23">
        <v>0.18</v>
      </c>
      <c r="AH14" s="125">
        <v>78073.668421728085</v>
      </c>
      <c r="AI14" s="125">
        <v>151071.01308147094</v>
      </c>
      <c r="AJ14" s="125">
        <v>162884.53313954908</v>
      </c>
      <c r="AK14" s="22">
        <v>164966.70470248934</v>
      </c>
      <c r="AM14" s="23">
        <v>0.18</v>
      </c>
      <c r="AN14" s="125">
        <v>91085.946492016097</v>
      </c>
      <c r="AO14" s="125">
        <v>176447.73019345955</v>
      </c>
      <c r="AP14" s="125">
        <v>190749.91307076166</v>
      </c>
      <c r="AQ14" s="22">
        <v>193270.25444354504</v>
      </c>
      <c r="AS14" s="154">
        <v>0.2</v>
      </c>
      <c r="AT14">
        <v>94458.788888888899</v>
      </c>
      <c r="AU14">
        <v>99744.482904000004</v>
      </c>
      <c r="AV14">
        <v>100193.122468748</v>
      </c>
      <c r="AW14" s="22">
        <v>99693.480660748799</v>
      </c>
      <c r="AY14" s="154">
        <v>0.2</v>
      </c>
      <c r="AZ14">
        <v>188917.57777777701</v>
      </c>
      <c r="BA14">
        <v>199698.48070399999</v>
      </c>
      <c r="BB14">
        <v>201120.90888269301</v>
      </c>
      <c r="BC14">
        <v>201448.44133963899</v>
      </c>
      <c r="BD14" s="22">
        <v>200930.55772363901</v>
      </c>
      <c r="BF14" s="154">
        <v>0.2</v>
      </c>
      <c r="BG14">
        <v>283376.366666666</v>
      </c>
      <c r="BH14">
        <v>299652.478504</v>
      </c>
      <c r="BI14">
        <v>302179.20541215001</v>
      </c>
      <c r="BJ14">
        <v>302703.76021052903</v>
      </c>
      <c r="BK14" s="22">
        <v>302167.634786529</v>
      </c>
      <c r="BM14" s="154">
        <v>0.2</v>
      </c>
      <c r="BN14">
        <v>71632.459265135534</v>
      </c>
      <c r="BO14">
        <v>71581.704924502701</v>
      </c>
      <c r="BP14">
        <v>71927.999401829336</v>
      </c>
      <c r="BQ14" s="22">
        <v>44612.043340581637</v>
      </c>
      <c r="BS14" s="154">
        <v>0.2</v>
      </c>
      <c r="BT14">
        <v>147486.5663013751</v>
      </c>
      <c r="BU14">
        <v>147869.81739755027</v>
      </c>
      <c r="BV14">
        <v>145311.34116926463</v>
      </c>
      <c r="BW14" s="22">
        <v>89224.086681163273</v>
      </c>
      <c r="BY14" s="154">
        <v>0.2</v>
      </c>
      <c r="BZ14">
        <v>223340.67333761466</v>
      </c>
      <c r="CA14">
        <v>224157.92987059787</v>
      </c>
      <c r="CB14">
        <v>218694.68293669992</v>
      </c>
      <c r="CC14" s="22">
        <v>133836.1300217449</v>
      </c>
      <c r="CE14" s="154">
        <v>0.5</v>
      </c>
      <c r="CF14">
        <v>48846.376030167594</v>
      </c>
      <c r="CG14">
        <v>48677.615620151439</v>
      </c>
      <c r="CH14">
        <v>49810.617226700233</v>
      </c>
      <c r="CI14" s="22">
        <v>26024.556140576031</v>
      </c>
      <c r="CK14" s="154">
        <v>0.5</v>
      </c>
      <c r="CL14">
        <v>101581.25766970293</v>
      </c>
      <c r="CM14">
        <v>101760.15248709838</v>
      </c>
      <c r="CN14">
        <v>100564.05145067742</v>
      </c>
      <c r="CO14" s="22">
        <v>52049.112281152062</v>
      </c>
      <c r="CQ14" s="154">
        <v>0.5</v>
      </c>
      <c r="CR14">
        <v>154316.13930923824</v>
      </c>
      <c r="CS14">
        <v>154842.68935404535</v>
      </c>
      <c r="CT14">
        <v>151317.48567465463</v>
      </c>
      <c r="CU14" s="22">
        <v>78073.668421728085</v>
      </c>
      <c r="CW14" s="154">
        <v>0.5</v>
      </c>
      <c r="CX14">
        <v>49757.61722670024</v>
      </c>
      <c r="CY14">
        <v>34704.507283414285</v>
      </c>
      <c r="CZ14">
        <v>49810.617226700233</v>
      </c>
      <c r="DA14" s="22">
        <v>26024.556140576031</v>
      </c>
      <c r="DC14" s="154">
        <v>0.5</v>
      </c>
      <c r="DD14" s="125">
        <v>100511.05145067743</v>
      </c>
      <c r="DE14" s="125">
        <v>72252.198580045195</v>
      </c>
      <c r="DF14" s="125">
        <v>100564.05145067742</v>
      </c>
      <c r="DG14" s="22">
        <v>52049.112281152062</v>
      </c>
      <c r="DI14" s="154">
        <v>0.5</v>
      </c>
      <c r="DJ14">
        <v>151264.48567465466</v>
      </c>
      <c r="DK14">
        <v>109799.8898766761</v>
      </c>
      <c r="DL14">
        <v>151317.48567465463</v>
      </c>
      <c r="DM14" s="22">
        <v>78073.668421728085</v>
      </c>
      <c r="DO14" s="154">
        <v>0.5</v>
      </c>
      <c r="DP14">
        <v>51099.65275635646</v>
      </c>
      <c r="DQ14">
        <v>46300.632456189021</v>
      </c>
      <c r="DR14">
        <v>49810.617226700233</v>
      </c>
      <c r="DS14" s="22">
        <v>26024.556140576031</v>
      </c>
      <c r="DU14" s="154">
        <v>0.5</v>
      </c>
      <c r="DV14">
        <v>106260.5842967073</v>
      </c>
      <c r="DW14">
        <v>97209.44871755784</v>
      </c>
      <c r="DX14">
        <v>100564.05145067742</v>
      </c>
      <c r="DY14" s="22">
        <v>52049.112281152062</v>
      </c>
      <c r="EA14" s="154">
        <v>0.5</v>
      </c>
      <c r="EB14">
        <v>161421.51583705813</v>
      </c>
      <c r="EC14">
        <v>148118.26497892666</v>
      </c>
      <c r="ED14">
        <v>151317.48567465463</v>
      </c>
      <c r="EE14" s="22">
        <v>78073.668421728085</v>
      </c>
      <c r="EG14" s="154">
        <v>0.5</v>
      </c>
      <c r="EH14">
        <v>51701.792113339325</v>
      </c>
      <c r="EI14">
        <v>52036.928659177</v>
      </c>
      <c r="EJ14">
        <v>49810.617226700233</v>
      </c>
      <c r="EK14" s="22">
        <v>26024.556140576031</v>
      </c>
      <c r="EM14" s="154">
        <v>0.5</v>
      </c>
      <c r="EN14">
        <v>107255.32323567149</v>
      </c>
      <c r="EO14">
        <v>108435.52374117904</v>
      </c>
      <c r="EP14">
        <v>100564.05145067742</v>
      </c>
      <c r="EQ14" s="22">
        <v>52049.112281152062</v>
      </c>
      <c r="ES14" s="154">
        <v>0.5</v>
      </c>
      <c r="ET14">
        <v>162808.85435800365</v>
      </c>
      <c r="EU14">
        <v>164834.11882318108</v>
      </c>
      <c r="EV14">
        <v>151317.48567465463</v>
      </c>
      <c r="EW14" s="22">
        <v>78073.668421728085</v>
      </c>
      <c r="EY14" s="154">
        <v>0.5</v>
      </c>
      <c r="EZ14">
        <v>100079.76557739446</v>
      </c>
      <c r="FA14">
        <v>99993.6912020296</v>
      </c>
      <c r="FB14">
        <v>100564.05145067742</v>
      </c>
      <c r="FC14" s="22">
        <v>52049.112281152062</v>
      </c>
      <c r="FE14" s="154">
        <v>0.5</v>
      </c>
      <c r="FF14">
        <v>49178.707446880813</v>
      </c>
      <c r="FG14">
        <v>49068.593757461102</v>
      </c>
      <c r="FH14">
        <v>49810.617226700233</v>
      </c>
      <c r="FI14" s="22">
        <v>26024.556140576031</v>
      </c>
      <c r="FK14" s="154">
        <v>0.5</v>
      </c>
      <c r="FL14">
        <v>150980.8237079081</v>
      </c>
      <c r="FM14">
        <v>150918.78864659811</v>
      </c>
      <c r="FN14">
        <v>151317.48567465463</v>
      </c>
      <c r="FO14" s="22">
        <v>78073.668421728085</v>
      </c>
      <c r="FQ14" s="154">
        <v>0.5</v>
      </c>
      <c r="FR14">
        <v>51501.551078108248</v>
      </c>
      <c r="FS14">
        <v>51801.350970669853</v>
      </c>
      <c r="FT14">
        <v>49810.617226700233</v>
      </c>
      <c r="FU14" s="22">
        <v>26024.556140576031</v>
      </c>
      <c r="FW14" s="154">
        <v>0.5</v>
      </c>
      <c r="FX14">
        <v>107087.48566370245</v>
      </c>
      <c r="FY14">
        <v>108238.06777415666</v>
      </c>
      <c r="FZ14">
        <v>100564.05145067742</v>
      </c>
      <c r="GA14" s="22">
        <v>52049.112281152062</v>
      </c>
      <c r="GC14" s="154">
        <v>0.5</v>
      </c>
      <c r="GD14">
        <v>162673.42024929664</v>
      </c>
      <c r="GE14">
        <v>164674.78457764347</v>
      </c>
      <c r="GF14">
        <v>151317.48567465463</v>
      </c>
      <c r="GG14" s="22">
        <v>78073.668421728085</v>
      </c>
      <c r="GI14" s="154">
        <v>0.5</v>
      </c>
      <c r="GJ14">
        <v>51669.481078430726</v>
      </c>
      <c r="GK14">
        <v>49621.833594211632</v>
      </c>
      <c r="GL14">
        <v>49810.617226700233</v>
      </c>
      <c r="GM14" s="22">
        <v>26024.556140576031</v>
      </c>
      <c r="GO14" s="154">
        <v>0.5</v>
      </c>
      <c r="GP14">
        <v>107400.24094085583</v>
      </c>
      <c r="GQ14">
        <v>103863.21799039186</v>
      </c>
      <c r="GR14">
        <v>100564.05145067742</v>
      </c>
      <c r="GS14" s="22">
        <v>52049.112281152062</v>
      </c>
      <c r="GU14" s="154">
        <v>0.5</v>
      </c>
      <c r="GV14">
        <v>163131.00080328091</v>
      </c>
      <c r="GW14">
        <v>158104.60238657208</v>
      </c>
      <c r="GX14">
        <v>151317.48567465463</v>
      </c>
      <c r="GY14" s="22">
        <v>78073.668421728085</v>
      </c>
      <c r="HA14" s="154">
        <v>55000</v>
      </c>
      <c r="HB14">
        <v>302457.90045934368</v>
      </c>
      <c r="HC14">
        <v>306730.86334643292</v>
      </c>
      <c r="HD14">
        <v>278201.07123459753</v>
      </c>
      <c r="HE14" s="22">
        <v>143135.05877316816</v>
      </c>
      <c r="HG14" s="154">
        <v>0.1</v>
      </c>
      <c r="HH14">
        <v>39709.07000034114</v>
      </c>
      <c r="HI14">
        <v>39794.840520800448</v>
      </c>
      <c r="HJ14">
        <v>39234.826196531889</v>
      </c>
      <c r="HK14" s="22">
        <v>20451.78759613381</v>
      </c>
      <c r="HM14" s="154">
        <v>0.1</v>
      </c>
      <c r="HN14">
        <v>83479.418784676658</v>
      </c>
      <c r="HO14">
        <v>84197.864846780692</v>
      </c>
      <c r="HP14">
        <v>79412.469390340731</v>
      </c>
      <c r="HQ14" s="22">
        <v>40903.575192267621</v>
      </c>
      <c r="HS14" s="154">
        <v>0.1</v>
      </c>
      <c r="HT14">
        <v>127249.76756901218</v>
      </c>
      <c r="HU14">
        <v>128600.88917276094</v>
      </c>
      <c r="HV14">
        <v>119590.11258414957</v>
      </c>
      <c r="HW14" s="22">
        <v>61355.362788401428</v>
      </c>
      <c r="HY14" s="154">
        <v>0.1</v>
      </c>
      <c r="HZ14">
        <v>51846.783016285153</v>
      </c>
      <c r="IA14">
        <v>52177.968958605299</v>
      </c>
      <c r="IB14">
        <v>49977.994882912055</v>
      </c>
      <c r="IC14" s="22">
        <v>26024.556140576031</v>
      </c>
      <c r="IE14" s="154">
        <v>0.1</v>
      </c>
      <c r="IF14">
        <v>107577.54287871026</v>
      </c>
      <c r="IG14">
        <v>108785.06844071668</v>
      </c>
      <c r="IH14">
        <v>100731.42910688923</v>
      </c>
      <c r="II14" s="22">
        <v>52049.112281152062</v>
      </c>
      <c r="IK14" s="154">
        <v>0.1</v>
      </c>
      <c r="IL14">
        <v>163308.30274113533</v>
      </c>
      <c r="IM14">
        <v>165392.16792282811</v>
      </c>
      <c r="IN14">
        <v>151484.86333086644</v>
      </c>
      <c r="IO14" s="22">
        <v>78073.668421728085</v>
      </c>
    </row>
    <row r="15" spans="3:249" x14ac:dyDescent="0.2">
      <c r="C15" s="23">
        <v>0.2</v>
      </c>
      <c r="D15" s="125">
        <v>11822.988479827372</v>
      </c>
      <c r="E15" s="125">
        <v>21068.970664262393</v>
      </c>
      <c r="F15" s="125">
        <v>23010.786187367692</v>
      </c>
      <c r="G15" s="22">
        <v>28303.549741055696</v>
      </c>
      <c r="H15" s="137"/>
      <c r="I15" s="23">
        <v>0.2</v>
      </c>
      <c r="J15" s="125">
        <v>26024.556140576031</v>
      </c>
      <c r="K15" s="125">
        <v>49564.144633516553</v>
      </c>
      <c r="L15" s="125">
        <v>51423.0134146989</v>
      </c>
      <c r="M15" s="22">
        <v>51752.505738266533</v>
      </c>
      <c r="O15" s="23">
        <v>0.2</v>
      </c>
      <c r="P15" s="125">
        <v>39036.834210864043</v>
      </c>
      <c r="Q15" s="125">
        <v>74940.861745505157</v>
      </c>
      <c r="R15" s="125">
        <v>79288.393345911434</v>
      </c>
      <c r="S15" s="22">
        <v>80056.05547932224</v>
      </c>
      <c r="U15" s="23">
        <v>0.2</v>
      </c>
      <c r="V15" s="125">
        <v>52049.112281152062</v>
      </c>
      <c r="W15" s="125">
        <v>100317.57885749375</v>
      </c>
      <c r="X15" s="125">
        <v>107153.773277124</v>
      </c>
      <c r="Y15" s="22">
        <v>108359.60522037793</v>
      </c>
      <c r="AA15" s="23">
        <v>0.2</v>
      </c>
      <c r="AB15" s="125">
        <v>65061.390351440074</v>
      </c>
      <c r="AC15" s="125">
        <v>125694.29596948235</v>
      </c>
      <c r="AD15" s="125">
        <v>135019.15320833653</v>
      </c>
      <c r="AE15" s="22">
        <v>136663.15496143364</v>
      </c>
      <c r="AG15" s="23">
        <v>0.2</v>
      </c>
      <c r="AH15" s="125">
        <v>78073.668421728085</v>
      </c>
      <c r="AI15" s="125">
        <v>151071.01308147094</v>
      </c>
      <c r="AJ15" s="125">
        <v>162884.53313954908</v>
      </c>
      <c r="AK15" s="22">
        <v>164966.70470248934</v>
      </c>
      <c r="AM15" s="23">
        <v>0.2</v>
      </c>
      <c r="AN15" s="125">
        <v>91085.946492016097</v>
      </c>
      <c r="AO15" s="125">
        <v>176447.73019345955</v>
      </c>
      <c r="AP15" s="125">
        <v>190749.91307076166</v>
      </c>
      <c r="AQ15" s="22">
        <v>193270.25444354504</v>
      </c>
      <c r="AS15" s="154">
        <v>0.22</v>
      </c>
      <c r="AT15">
        <v>92503.537777777703</v>
      </c>
      <c r="AU15">
        <v>98317.801194400003</v>
      </c>
      <c r="AV15">
        <v>98816.604715623602</v>
      </c>
      <c r="AW15" s="22">
        <v>98330.778952823603</v>
      </c>
      <c r="AY15" s="154">
        <v>0.22</v>
      </c>
      <c r="AZ15">
        <v>185007.075555555</v>
      </c>
      <c r="BA15">
        <v>196866.06877439999</v>
      </c>
      <c r="BB15">
        <v>198443.17581616199</v>
      </c>
      <c r="BC15">
        <v>198796.32547360301</v>
      </c>
      <c r="BD15" s="22">
        <v>198292.71394800299</v>
      </c>
      <c r="BF15" s="154">
        <v>0.22</v>
      </c>
      <c r="BG15">
        <v>277510.61333333299</v>
      </c>
      <c r="BH15">
        <v>295414.33635439997</v>
      </c>
      <c r="BI15">
        <v>298206.40002116503</v>
      </c>
      <c r="BJ15">
        <v>298776.046231582</v>
      </c>
      <c r="BK15" s="22">
        <v>298254.64894318202</v>
      </c>
      <c r="BM15" s="154">
        <v>0.22</v>
      </c>
      <c r="BN15">
        <v>71062.088459801103</v>
      </c>
      <c r="BO15">
        <v>71022.196660286369</v>
      </c>
      <c r="BP15">
        <v>71296.074196825648</v>
      </c>
      <c r="BQ15" s="22">
        <v>44080.972277724337</v>
      </c>
      <c r="BS15" s="154">
        <v>0.22</v>
      </c>
      <c r="BT15">
        <v>146341.24271964596</v>
      </c>
      <c r="BU15">
        <v>146747.99447645005</v>
      </c>
      <c r="BV15">
        <v>144032.84717730497</v>
      </c>
      <c r="BW15" s="22">
        <v>88161.944555448674</v>
      </c>
      <c r="BY15" s="154">
        <v>0.22</v>
      </c>
      <c r="BZ15">
        <v>221620.39697949082</v>
      </c>
      <c r="CA15">
        <v>222473.79229261374</v>
      </c>
      <c r="CB15">
        <v>216769.62015778429</v>
      </c>
      <c r="CC15" s="22">
        <v>132242.91683317302</v>
      </c>
      <c r="CE15" s="154">
        <v>0.55000000000000004</v>
      </c>
      <c r="CF15">
        <v>48563.896037345599</v>
      </c>
      <c r="CG15">
        <v>48345.286216831424</v>
      </c>
      <c r="CH15">
        <v>49810.617226700233</v>
      </c>
      <c r="CI15" s="22">
        <v>26024.556140576031</v>
      </c>
      <c r="CK15" s="154">
        <v>0.55000000000000004</v>
      </c>
      <c r="CL15">
        <v>100999.00999398221</v>
      </c>
      <c r="CM15">
        <v>101075.1552215446</v>
      </c>
      <c r="CN15">
        <v>100564.05145067742</v>
      </c>
      <c r="CO15" s="22">
        <v>52049.112281152062</v>
      </c>
      <c r="CQ15" s="154">
        <v>0.55000000000000004</v>
      </c>
      <c r="CR15">
        <v>153434.12395061881</v>
      </c>
      <c r="CS15">
        <v>153805.02422625775</v>
      </c>
      <c r="CT15">
        <v>151317.48567465463</v>
      </c>
      <c r="CU15" s="22">
        <v>78073.668421728085</v>
      </c>
      <c r="CW15" s="154">
        <v>0.55000000000000004</v>
      </c>
      <c r="CX15">
        <v>49757.61722670024</v>
      </c>
      <c r="CY15">
        <v>32971.600630757232</v>
      </c>
      <c r="CZ15">
        <v>49810.617226700233</v>
      </c>
      <c r="DA15" s="22">
        <v>26024.556140576031</v>
      </c>
      <c r="DC15" s="154">
        <v>0.55000000000000004</v>
      </c>
      <c r="DD15" s="125">
        <v>100511.05145067743</v>
      </c>
      <c r="DE15" s="125">
        <v>68609.531588161626</v>
      </c>
      <c r="DF15" s="125">
        <v>100564.05145067742</v>
      </c>
      <c r="DG15" s="22">
        <v>52049.112281152062</v>
      </c>
      <c r="DI15" s="154">
        <v>0.55000000000000004</v>
      </c>
      <c r="DJ15">
        <v>151264.48567465466</v>
      </c>
      <c r="DK15">
        <v>104247.46254556604</v>
      </c>
      <c r="DL15">
        <v>151317.48567465463</v>
      </c>
      <c r="DM15" s="22">
        <v>78073.668421728085</v>
      </c>
      <c r="DO15" s="154">
        <v>0.55000000000000004</v>
      </c>
      <c r="DP15">
        <v>51042.64712189525</v>
      </c>
      <c r="DQ15">
        <v>45730.576111576913</v>
      </c>
      <c r="DR15">
        <v>49810.617226700233</v>
      </c>
      <c r="DS15" s="22">
        <v>26024.556140576031</v>
      </c>
      <c r="DU15" s="154">
        <v>0.55000000000000004</v>
      </c>
      <c r="DV15">
        <v>106146.57302778488</v>
      </c>
      <c r="DW15">
        <v>96069.336028333622</v>
      </c>
      <c r="DX15">
        <v>100564.05145067742</v>
      </c>
      <c r="DY15" s="22">
        <v>52049.112281152062</v>
      </c>
      <c r="EA15" s="154">
        <v>0.55000000000000004</v>
      </c>
      <c r="EB15">
        <v>161250.49893367451</v>
      </c>
      <c r="EC15">
        <v>146408.09594509035</v>
      </c>
      <c r="ED15">
        <v>151317.48567465463</v>
      </c>
      <c r="EE15" s="22">
        <v>78073.668421728085</v>
      </c>
      <c r="EG15" s="154">
        <v>0.55000000000000004</v>
      </c>
      <c r="EH15">
        <v>51701.792113339325</v>
      </c>
      <c r="EI15">
        <v>52036.928659177</v>
      </c>
      <c r="EJ15">
        <v>49810.617226700233</v>
      </c>
      <c r="EK15" s="22">
        <v>26024.556140576031</v>
      </c>
      <c r="EM15" s="154">
        <v>0.55000000000000004</v>
      </c>
      <c r="EN15">
        <v>107255.32323567149</v>
      </c>
      <c r="EO15">
        <v>108435.52374117904</v>
      </c>
      <c r="EP15">
        <v>100564.05145067742</v>
      </c>
      <c r="EQ15" s="22">
        <v>52049.112281152062</v>
      </c>
      <c r="ES15" s="154">
        <v>0.55000000000000004</v>
      </c>
      <c r="ET15">
        <v>162808.85435800365</v>
      </c>
      <c r="EU15">
        <v>164834.11882318108</v>
      </c>
      <c r="EV15">
        <v>151317.48567465463</v>
      </c>
      <c r="EW15" s="22">
        <v>78073.668421728085</v>
      </c>
      <c r="EY15" s="154">
        <v>0.55000000000000004</v>
      </c>
      <c r="EZ15">
        <v>100079.76557739446</v>
      </c>
      <c r="FA15">
        <v>99993.6912020296</v>
      </c>
      <c r="FB15">
        <v>100564.05145067742</v>
      </c>
      <c r="FC15" s="22">
        <v>52049.112281152062</v>
      </c>
      <c r="FE15" s="154">
        <v>0.55000000000000004</v>
      </c>
      <c r="FF15">
        <v>49178.707446880813</v>
      </c>
      <c r="FG15">
        <v>49068.593757461102</v>
      </c>
      <c r="FH15">
        <v>49810.617226700233</v>
      </c>
      <c r="FI15" s="22">
        <v>26024.556140576031</v>
      </c>
      <c r="FK15" s="154">
        <v>0.55000000000000004</v>
      </c>
      <c r="FL15">
        <v>150980.8237079081</v>
      </c>
      <c r="FM15">
        <v>150918.78864659811</v>
      </c>
      <c r="FN15">
        <v>151317.48567465463</v>
      </c>
      <c r="FO15" s="22">
        <v>78073.668421728085</v>
      </c>
      <c r="FQ15" s="154">
        <v>0.55000000000000004</v>
      </c>
      <c r="FR15">
        <v>51525.541078154325</v>
      </c>
      <c r="FS15">
        <v>51829.574500135815</v>
      </c>
      <c r="FT15">
        <v>49810.617226700233</v>
      </c>
      <c r="FU15" s="22">
        <v>26024.556140576031</v>
      </c>
      <c r="FW15" s="154">
        <v>0.55000000000000004</v>
      </c>
      <c r="FX15">
        <v>107132.1649890101</v>
      </c>
      <c r="FY15">
        <v>108290.63168628329</v>
      </c>
      <c r="FZ15">
        <v>100564.05145067742</v>
      </c>
      <c r="GA15" s="22">
        <v>52049.112281152062</v>
      </c>
      <c r="GC15" s="154">
        <v>0.55000000000000004</v>
      </c>
      <c r="GD15">
        <v>162738.78889986587</v>
      </c>
      <c r="GE15">
        <v>164751.68887243076</v>
      </c>
      <c r="GF15">
        <v>151317.48567465463</v>
      </c>
      <c r="GG15" s="22">
        <v>78073.668421728085</v>
      </c>
      <c r="GI15" s="154">
        <v>0.55000000000000004</v>
      </c>
      <c r="GJ15">
        <v>51669.481078430726</v>
      </c>
      <c r="GK15">
        <v>50216.104114891627</v>
      </c>
      <c r="GL15">
        <v>49810.617226700233</v>
      </c>
      <c r="GM15" s="22">
        <v>26024.556140576031</v>
      </c>
      <c r="GO15" s="154">
        <v>0.55000000000000004</v>
      </c>
      <c r="GP15">
        <v>107400.24094085583</v>
      </c>
      <c r="GQ15">
        <v>105048.91728255464</v>
      </c>
      <c r="GR15">
        <v>100564.05145067742</v>
      </c>
      <c r="GS15" s="22">
        <v>52049.112281152062</v>
      </c>
      <c r="GU15" s="154">
        <v>0.55000000000000004</v>
      </c>
      <c r="GV15">
        <v>163131.00080328091</v>
      </c>
      <c r="GW15">
        <v>159881.73045021767</v>
      </c>
      <c r="GX15">
        <v>151317.48567465463</v>
      </c>
      <c r="GY15" s="22">
        <v>78073.668421728085</v>
      </c>
      <c r="HA15" s="154">
        <v>60000</v>
      </c>
      <c r="HB15">
        <v>330323.2803905562</v>
      </c>
      <c r="HC15">
        <v>335034.41308748862</v>
      </c>
      <c r="HD15">
        <v>303577.78834658617</v>
      </c>
      <c r="HE15" s="22">
        <v>156147.33684345617</v>
      </c>
      <c r="HG15" s="154">
        <v>0.11</v>
      </c>
      <c r="HH15">
        <v>38252.733825619376</v>
      </c>
      <c r="HI15">
        <v>38306.099678935578</v>
      </c>
      <c r="HJ15">
        <v>37962.526339999771</v>
      </c>
      <c r="HK15" s="22">
        <v>19813.00777902253</v>
      </c>
      <c r="HM15" s="154">
        <v>0.11</v>
      </c>
      <c r="HN15">
        <v>80566.74643523313</v>
      </c>
      <c r="HO15">
        <v>81220.383163050952</v>
      </c>
      <c r="HP15">
        <v>76867.869677276496</v>
      </c>
      <c r="HQ15" s="22">
        <v>39626.015558045059</v>
      </c>
      <c r="HS15" s="154">
        <v>0.11</v>
      </c>
      <c r="HT15">
        <v>122880.75904484688</v>
      </c>
      <c r="HU15">
        <v>124134.66664716635</v>
      </c>
      <c r="HV15">
        <v>115773.21301455323</v>
      </c>
      <c r="HW15" s="22">
        <v>59439.023337067585</v>
      </c>
      <c r="HY15" s="154">
        <v>0.11</v>
      </c>
      <c r="HZ15">
        <v>51868.275329896205</v>
      </c>
      <c r="IA15">
        <v>52199.483572825739</v>
      </c>
      <c r="IB15">
        <v>49999.360826403252</v>
      </c>
      <c r="IC15" s="22">
        <v>26024.556140576031</v>
      </c>
      <c r="IE15" s="154">
        <v>0.11</v>
      </c>
      <c r="IF15">
        <v>107599.03519232132</v>
      </c>
      <c r="IG15">
        <v>108806.58305493713</v>
      </c>
      <c r="IH15">
        <v>100752.79505038043</v>
      </c>
      <c r="II15" s="22">
        <v>52049.112281152062</v>
      </c>
      <c r="IK15" s="154">
        <v>0.11</v>
      </c>
      <c r="IL15">
        <v>163329.79505474638</v>
      </c>
      <c r="IM15">
        <v>165413.68253704853</v>
      </c>
      <c r="IN15">
        <v>151506.22927435764</v>
      </c>
      <c r="IO15" s="22">
        <v>78073.668421728085</v>
      </c>
    </row>
    <row r="16" spans="3:249" x14ac:dyDescent="0.2">
      <c r="C16" s="23">
        <v>0.22</v>
      </c>
      <c r="D16" s="125">
        <v>11822.988479827372</v>
      </c>
      <c r="E16" s="125">
        <v>21068.970664262393</v>
      </c>
      <c r="F16" s="125">
        <v>23010.786187367692</v>
      </c>
      <c r="G16" s="22">
        <v>28303.549741055696</v>
      </c>
      <c r="H16" s="137"/>
      <c r="I16" s="23">
        <v>0.22</v>
      </c>
      <c r="J16" s="125">
        <v>26024.556140576031</v>
      </c>
      <c r="K16" s="125">
        <v>49564.144633516553</v>
      </c>
      <c r="L16" s="125">
        <v>51423.0134146989</v>
      </c>
      <c r="M16" s="22">
        <v>51752.505738266533</v>
      </c>
      <c r="O16" s="23">
        <v>0.22</v>
      </c>
      <c r="P16" s="125">
        <v>39036.834210864043</v>
      </c>
      <c r="Q16" s="125">
        <v>74940.861745505157</v>
      </c>
      <c r="R16" s="125">
        <v>79288.393345911434</v>
      </c>
      <c r="S16" s="22">
        <v>80056.05547932224</v>
      </c>
      <c r="U16" s="23">
        <v>0.22</v>
      </c>
      <c r="V16" s="125">
        <v>52049.112281152062</v>
      </c>
      <c r="W16" s="125">
        <v>100317.57885749375</v>
      </c>
      <c r="X16" s="125">
        <v>107153.773277124</v>
      </c>
      <c r="Y16" s="22">
        <v>108359.60522037793</v>
      </c>
      <c r="AA16" s="23">
        <v>0.22</v>
      </c>
      <c r="AB16" s="125">
        <v>65061.390351440074</v>
      </c>
      <c r="AC16" s="125">
        <v>125694.29596948235</v>
      </c>
      <c r="AD16" s="125">
        <v>135019.15320833653</v>
      </c>
      <c r="AE16" s="22">
        <v>136663.15496143364</v>
      </c>
      <c r="AG16" s="23">
        <v>0.22</v>
      </c>
      <c r="AH16" s="125">
        <v>78073.668421728085</v>
      </c>
      <c r="AI16" s="125">
        <v>151071.01308147094</v>
      </c>
      <c r="AJ16" s="125">
        <v>162884.53313954908</v>
      </c>
      <c r="AK16" s="22">
        <v>164966.70470248934</v>
      </c>
      <c r="AM16" s="23">
        <v>0.22</v>
      </c>
      <c r="AN16" s="125">
        <v>91085.946492016097</v>
      </c>
      <c r="AO16" s="125">
        <v>176447.73019345955</v>
      </c>
      <c r="AP16" s="125">
        <v>190749.91307076166</v>
      </c>
      <c r="AQ16" s="22">
        <v>193270.25444354504</v>
      </c>
      <c r="AS16" s="154">
        <v>0.24</v>
      </c>
      <c r="AT16">
        <v>90548.286666666594</v>
      </c>
      <c r="AU16">
        <v>96891.119484800001</v>
      </c>
      <c r="AV16">
        <v>97440.086962498593</v>
      </c>
      <c r="AW16" s="22">
        <v>96968.077244898595</v>
      </c>
      <c r="AY16" s="154">
        <v>0.24</v>
      </c>
      <c r="AZ16">
        <v>181096.57333333301</v>
      </c>
      <c r="BA16">
        <v>194033.65684479999</v>
      </c>
      <c r="BB16">
        <v>195765.442749632</v>
      </c>
      <c r="BC16">
        <v>196144.209607567</v>
      </c>
      <c r="BD16" s="22">
        <v>195654.87017236699</v>
      </c>
      <c r="BF16" s="154">
        <v>0.24</v>
      </c>
      <c r="BG16">
        <v>271644.86</v>
      </c>
      <c r="BH16">
        <v>291176.19420480001</v>
      </c>
      <c r="BI16">
        <v>294233.59463017998</v>
      </c>
      <c r="BJ16">
        <v>294848.33225263498</v>
      </c>
      <c r="BK16" s="22">
        <v>294341.66309983499</v>
      </c>
      <c r="BM16" s="154">
        <v>0.24</v>
      </c>
      <c r="BN16">
        <v>70491.717654466687</v>
      </c>
      <c r="BO16">
        <v>70462.688396070051</v>
      </c>
      <c r="BP16">
        <v>70664.148991821959</v>
      </c>
      <c r="BQ16" s="22">
        <v>43549.901214867023</v>
      </c>
      <c r="BS16" s="154">
        <v>0.24</v>
      </c>
      <c r="BT16">
        <v>145195.91913791685</v>
      </c>
      <c r="BU16">
        <v>145626.17155534981</v>
      </c>
      <c r="BV16">
        <v>142754.35318534533</v>
      </c>
      <c r="BW16" s="22">
        <v>87099.802429734045</v>
      </c>
      <c r="BY16" s="154">
        <v>0.24</v>
      </c>
      <c r="BZ16">
        <v>219900.12062136701</v>
      </c>
      <c r="CA16">
        <v>220789.65471462961</v>
      </c>
      <c r="CB16">
        <v>214844.55737886872</v>
      </c>
      <c r="CC16" s="22">
        <v>130649.70364460108</v>
      </c>
      <c r="CE16" s="154">
        <v>0.6</v>
      </c>
      <c r="CF16">
        <v>48281.416044523583</v>
      </c>
      <c r="CG16">
        <v>48012.956813511424</v>
      </c>
      <c r="CH16">
        <v>49810.617226700233</v>
      </c>
      <c r="CI16" s="22">
        <v>26024.556140576031</v>
      </c>
      <c r="CK16" s="154">
        <v>0.6</v>
      </c>
      <c r="CL16">
        <v>100416.76231826148</v>
      </c>
      <c r="CM16">
        <v>100390.15795599081</v>
      </c>
      <c r="CN16">
        <v>100564.05145067742</v>
      </c>
      <c r="CO16" s="22">
        <v>52049.112281152062</v>
      </c>
      <c r="CQ16" s="154">
        <v>0.6</v>
      </c>
      <c r="CR16">
        <v>152552.10859199936</v>
      </c>
      <c r="CS16">
        <v>152767.35909847019</v>
      </c>
      <c r="CT16">
        <v>151317.48567465463</v>
      </c>
      <c r="CU16" s="22">
        <v>78073.668421728085</v>
      </c>
      <c r="CW16" s="154">
        <v>0.6</v>
      </c>
      <c r="CX16">
        <v>49757.61722670024</v>
      </c>
      <c r="CY16">
        <v>31238.693978100186</v>
      </c>
      <c r="CZ16">
        <v>49810.617226700233</v>
      </c>
      <c r="DA16" s="22">
        <v>26024.556140576031</v>
      </c>
      <c r="DC16" s="154">
        <v>0.6</v>
      </c>
      <c r="DD16" s="125">
        <v>100511.05145067743</v>
      </c>
      <c r="DE16" s="125">
        <v>64966.864596278087</v>
      </c>
      <c r="DF16" s="125">
        <v>100564.05145067742</v>
      </c>
      <c r="DG16" s="22">
        <v>52049.112281152062</v>
      </c>
      <c r="DI16" s="154">
        <v>0.6</v>
      </c>
      <c r="DJ16">
        <v>151264.48567465466</v>
      </c>
      <c r="DK16">
        <v>98695.035214456002</v>
      </c>
      <c r="DL16">
        <v>151317.48567465463</v>
      </c>
      <c r="DM16" s="22">
        <v>78073.668421728085</v>
      </c>
      <c r="DO16" s="154">
        <v>0.6</v>
      </c>
      <c r="DP16">
        <v>50985.641487434041</v>
      </c>
      <c r="DQ16">
        <v>45160.519766964811</v>
      </c>
      <c r="DR16">
        <v>49810.617226700233</v>
      </c>
      <c r="DS16" s="22">
        <v>26024.556140576031</v>
      </c>
      <c r="DU16" s="154">
        <v>0.6</v>
      </c>
      <c r="DV16">
        <v>106032.56175886246</v>
      </c>
      <c r="DW16">
        <v>94929.22333910942</v>
      </c>
      <c r="DX16">
        <v>100564.05145067742</v>
      </c>
      <c r="DY16" s="22">
        <v>52049.112281152062</v>
      </c>
      <c r="EA16" s="154">
        <v>0.6</v>
      </c>
      <c r="EB16">
        <v>161079.48203029088</v>
      </c>
      <c r="EC16">
        <v>144697.92691125404</v>
      </c>
      <c r="ED16">
        <v>151317.48567465463</v>
      </c>
      <c r="EE16" s="22">
        <v>78073.668421728085</v>
      </c>
      <c r="EG16" s="154">
        <v>0.6</v>
      </c>
      <c r="EH16">
        <v>51701.792113339325</v>
      </c>
      <c r="EI16">
        <v>52036.928659177</v>
      </c>
      <c r="EJ16">
        <v>49810.617226700233</v>
      </c>
      <c r="EK16" s="22">
        <v>26024.556140576031</v>
      </c>
      <c r="EM16" s="154">
        <v>0.6</v>
      </c>
      <c r="EN16">
        <v>107255.32323567149</v>
      </c>
      <c r="EO16">
        <v>108435.52374117904</v>
      </c>
      <c r="EP16">
        <v>100564.05145067742</v>
      </c>
      <c r="EQ16" s="22">
        <v>52049.112281152062</v>
      </c>
      <c r="ES16" s="154">
        <v>0.6</v>
      </c>
      <c r="ET16">
        <v>162808.85435800365</v>
      </c>
      <c r="EU16">
        <v>164834.11882318108</v>
      </c>
      <c r="EV16">
        <v>151317.48567465463</v>
      </c>
      <c r="EW16" s="22">
        <v>78073.668421728085</v>
      </c>
      <c r="EY16" s="154">
        <v>0.6</v>
      </c>
      <c r="EZ16">
        <v>100079.76557739446</v>
      </c>
      <c r="FA16">
        <v>99993.6912020296</v>
      </c>
      <c r="FB16">
        <v>100564.05145067742</v>
      </c>
      <c r="FC16" s="22">
        <v>52049.112281152062</v>
      </c>
      <c r="FE16" s="154">
        <v>0.6</v>
      </c>
      <c r="FF16">
        <v>49178.707446880813</v>
      </c>
      <c r="FG16">
        <v>49068.593757461102</v>
      </c>
      <c r="FH16">
        <v>49810.617226700233</v>
      </c>
      <c r="FI16" s="22">
        <v>26024.556140576031</v>
      </c>
      <c r="FK16" s="154">
        <v>0.6</v>
      </c>
      <c r="FL16">
        <v>150980.8237079081</v>
      </c>
      <c r="FM16">
        <v>150918.78864659811</v>
      </c>
      <c r="FN16">
        <v>151317.48567465463</v>
      </c>
      <c r="FO16" s="22">
        <v>78073.668421728085</v>
      </c>
      <c r="FQ16" s="154">
        <v>0.6</v>
      </c>
      <c r="FR16">
        <v>51549.53107820038</v>
      </c>
      <c r="FS16">
        <v>51857.798029601778</v>
      </c>
      <c r="FT16">
        <v>49810.617226700233</v>
      </c>
      <c r="FU16" s="22">
        <v>26024.556140576031</v>
      </c>
      <c r="FW16" s="154">
        <v>0.6</v>
      </c>
      <c r="FX16">
        <v>107176.84431431768</v>
      </c>
      <c r="FY16">
        <v>108343.19559840989</v>
      </c>
      <c r="FZ16">
        <v>100564.05145067742</v>
      </c>
      <c r="GA16" s="22">
        <v>52049.112281152062</v>
      </c>
      <c r="GC16" s="154">
        <v>0.6</v>
      </c>
      <c r="GD16">
        <v>162804.15755043502</v>
      </c>
      <c r="GE16">
        <v>164828.59316721803</v>
      </c>
      <c r="GF16">
        <v>151317.48567465463</v>
      </c>
      <c r="GG16" s="22">
        <v>78073.668421728085</v>
      </c>
      <c r="GI16" s="154">
        <v>0.6</v>
      </c>
      <c r="GJ16">
        <v>51669.481078430726</v>
      </c>
      <c r="GK16">
        <v>50810.374635571614</v>
      </c>
      <c r="GL16">
        <v>49810.617226700233</v>
      </c>
      <c r="GM16" s="22">
        <v>26024.556140576031</v>
      </c>
      <c r="GO16" s="154">
        <v>0.6</v>
      </c>
      <c r="GP16">
        <v>107400.24094085583</v>
      </c>
      <c r="GQ16">
        <v>106234.61657471744</v>
      </c>
      <c r="GR16">
        <v>100564.05145067742</v>
      </c>
      <c r="GS16" s="22">
        <v>52049.112281152062</v>
      </c>
      <c r="GU16" s="154">
        <v>0.6</v>
      </c>
      <c r="GV16">
        <v>163131.00080328091</v>
      </c>
      <c r="GW16">
        <v>161658.85851386326</v>
      </c>
      <c r="GX16">
        <v>151317.48567465463</v>
      </c>
      <c r="GY16" s="22">
        <v>78073.668421728085</v>
      </c>
      <c r="HA16" s="154">
        <v>65000</v>
      </c>
      <c r="HB16">
        <v>358188.66032176878</v>
      </c>
      <c r="HC16">
        <v>363337.96282854432</v>
      </c>
      <c r="HD16">
        <v>328954.50545857474</v>
      </c>
      <c r="HE16" s="22">
        <v>169159.61491374418</v>
      </c>
      <c r="HG16" s="154">
        <v>0.12</v>
      </c>
      <c r="HH16">
        <v>36876.790348713075</v>
      </c>
      <c r="HI16">
        <v>36899.118270115992</v>
      </c>
      <c r="HJ16">
        <v>36762.839692312722</v>
      </c>
      <c r="HK16" s="22">
        <v>19216.857689026565</v>
      </c>
      <c r="HM16" s="154">
        <v>0.12</v>
      </c>
      <c r="HN16">
        <v>77814.859481420528</v>
      </c>
      <c r="HO16">
        <v>78406.420345411781</v>
      </c>
      <c r="HP16">
        <v>74468.496381902398</v>
      </c>
      <c r="HQ16" s="22">
        <v>38433.71537805313</v>
      </c>
      <c r="HS16" s="154">
        <v>0.12</v>
      </c>
      <c r="HT16">
        <v>118752.92861412797</v>
      </c>
      <c r="HU16">
        <v>119913.72242070758</v>
      </c>
      <c r="HV16">
        <v>112174.15307149207</v>
      </c>
      <c r="HW16" s="22">
        <v>57650.573067079698</v>
      </c>
      <c r="HY16" s="154">
        <v>0.12</v>
      </c>
      <c r="HZ16">
        <v>51888.546553066801</v>
      </c>
      <c r="IA16">
        <v>52219.732389179568</v>
      </c>
      <c r="IB16">
        <v>50019.759021535509</v>
      </c>
      <c r="IC16" s="22">
        <v>26024.556140576031</v>
      </c>
      <c r="IE16" s="154">
        <v>0.12</v>
      </c>
      <c r="IF16">
        <v>107619.30641549191</v>
      </c>
      <c r="IG16">
        <v>108826.83187129095</v>
      </c>
      <c r="IH16">
        <v>100773.1932455127</v>
      </c>
      <c r="II16" s="22">
        <v>52049.112281152062</v>
      </c>
      <c r="IK16" s="154">
        <v>0.12</v>
      </c>
      <c r="IL16">
        <v>163350.06627791698</v>
      </c>
      <c r="IM16">
        <v>165433.93135340238</v>
      </c>
      <c r="IN16">
        <v>151526.6274694899</v>
      </c>
      <c r="IO16" s="22">
        <v>78073.668421728085</v>
      </c>
    </row>
    <row r="17" spans="3:249" x14ac:dyDescent="0.2">
      <c r="C17" s="23">
        <v>0.24</v>
      </c>
      <c r="D17" s="125">
        <v>11822.988479827372</v>
      </c>
      <c r="E17" s="125">
        <v>21068.970664262393</v>
      </c>
      <c r="F17" s="125">
        <v>23010.786187367692</v>
      </c>
      <c r="G17" s="22">
        <v>28303.549741055696</v>
      </c>
      <c r="H17" s="137"/>
      <c r="I17" s="23">
        <v>0.24</v>
      </c>
      <c r="J17" s="125">
        <v>26024.556140576031</v>
      </c>
      <c r="K17" s="125">
        <v>49564.144633516553</v>
      </c>
      <c r="L17" s="125">
        <v>51423.0134146989</v>
      </c>
      <c r="M17" s="22">
        <v>51752.505738266533</v>
      </c>
      <c r="O17" s="23">
        <v>0.24</v>
      </c>
      <c r="P17" s="125">
        <v>39036.834210864043</v>
      </c>
      <c r="Q17" s="125">
        <v>74940.861745505157</v>
      </c>
      <c r="R17" s="125">
        <v>79288.393345911434</v>
      </c>
      <c r="S17" s="22">
        <v>80056.05547932224</v>
      </c>
      <c r="U17" s="23">
        <v>0.24</v>
      </c>
      <c r="V17" s="125">
        <v>52049.112281152062</v>
      </c>
      <c r="W17" s="125">
        <v>100317.57885749375</v>
      </c>
      <c r="X17" s="125">
        <v>107153.773277124</v>
      </c>
      <c r="Y17" s="22">
        <v>108359.60522037793</v>
      </c>
      <c r="AA17" s="23">
        <v>0.24</v>
      </c>
      <c r="AB17" s="125">
        <v>65061.390351440074</v>
      </c>
      <c r="AC17" s="125">
        <v>125694.29596948235</v>
      </c>
      <c r="AD17" s="125">
        <v>135019.15320833653</v>
      </c>
      <c r="AE17" s="22">
        <v>136663.15496143364</v>
      </c>
      <c r="AG17" s="23">
        <v>0.24</v>
      </c>
      <c r="AH17" s="125">
        <v>78073.668421728085</v>
      </c>
      <c r="AI17" s="125">
        <v>151071.01308147094</v>
      </c>
      <c r="AJ17" s="125">
        <v>162884.53313954908</v>
      </c>
      <c r="AK17" s="22">
        <v>164966.70470248934</v>
      </c>
      <c r="AM17" s="23">
        <v>0.24</v>
      </c>
      <c r="AN17" s="125">
        <v>91085.946492016097</v>
      </c>
      <c r="AO17" s="125">
        <v>176447.73019345955</v>
      </c>
      <c r="AP17" s="125">
        <v>190749.91307076166</v>
      </c>
      <c r="AQ17" s="22">
        <v>193270.25444354504</v>
      </c>
      <c r="AS17" s="154">
        <v>0.26</v>
      </c>
      <c r="AT17">
        <v>88593.0355555555</v>
      </c>
      <c r="AU17">
        <v>95464.4377752</v>
      </c>
      <c r="AV17">
        <v>96063.569209373396</v>
      </c>
      <c r="AW17" s="22">
        <v>95605.375536973399</v>
      </c>
      <c r="AY17" s="154">
        <v>0.26</v>
      </c>
      <c r="AZ17">
        <v>177186.071111111</v>
      </c>
      <c r="BA17">
        <v>191201.24491519999</v>
      </c>
      <c r="BB17">
        <v>193087.70968310101</v>
      </c>
      <c r="BC17">
        <v>193492.09374153099</v>
      </c>
      <c r="BD17" s="22">
        <v>193017.026396731</v>
      </c>
      <c r="BF17" s="154">
        <v>0.26</v>
      </c>
      <c r="BG17">
        <v>265779.10666666599</v>
      </c>
      <c r="BH17">
        <v>286938.05205519998</v>
      </c>
      <c r="BI17">
        <v>290260.789239195</v>
      </c>
      <c r="BJ17">
        <v>290920.61827368801</v>
      </c>
      <c r="BK17" s="22">
        <v>290428.67725648801</v>
      </c>
      <c r="BM17" s="154">
        <v>0.26</v>
      </c>
      <c r="BN17">
        <v>69921.346849132256</v>
      </c>
      <c r="BO17">
        <v>69903.180131853733</v>
      </c>
      <c r="BP17">
        <v>70032.223786818271</v>
      </c>
      <c r="BQ17" s="22">
        <v>43018.83015200973</v>
      </c>
      <c r="BS17" s="154">
        <v>0.26</v>
      </c>
      <c r="BT17">
        <v>144050.59555618773</v>
      </c>
      <c r="BU17">
        <v>144504.34863424962</v>
      </c>
      <c r="BV17">
        <v>141475.8591933857</v>
      </c>
      <c r="BW17" s="22">
        <v>86037.66030401946</v>
      </c>
      <c r="BY17" s="154">
        <v>0.26</v>
      </c>
      <c r="BZ17">
        <v>218179.84426324323</v>
      </c>
      <c r="CA17">
        <v>219105.51713664553</v>
      </c>
      <c r="CB17">
        <v>212919.49459995315</v>
      </c>
      <c r="CC17" s="22">
        <v>129056.49045602919</v>
      </c>
      <c r="CE17" s="154">
        <v>0.65</v>
      </c>
      <c r="CF17">
        <v>47998.936051701581</v>
      </c>
      <c r="CG17">
        <v>47680.62741019141</v>
      </c>
      <c r="CH17">
        <v>49810.617226700233</v>
      </c>
      <c r="CI17" s="22">
        <v>26024.556140576031</v>
      </c>
      <c r="CK17" s="154">
        <v>0.65</v>
      </c>
      <c r="CL17">
        <v>99834.514642540773</v>
      </c>
      <c r="CM17">
        <v>99705.160690437013</v>
      </c>
      <c r="CN17">
        <v>100564.05145067742</v>
      </c>
      <c r="CO17" s="22">
        <v>52049.112281152062</v>
      </c>
      <c r="CQ17" s="154">
        <v>0.65</v>
      </c>
      <c r="CR17">
        <v>151670.09323337994</v>
      </c>
      <c r="CS17">
        <v>151729.69397068262</v>
      </c>
      <c r="CT17">
        <v>151317.48567465463</v>
      </c>
      <c r="CU17" s="22">
        <v>78073.668421728085</v>
      </c>
      <c r="CW17" s="154">
        <v>0.65</v>
      </c>
      <c r="CX17">
        <v>49757.61722670024</v>
      </c>
      <c r="CY17">
        <v>29505.787325443143</v>
      </c>
      <c r="CZ17">
        <v>49810.617226700233</v>
      </c>
      <c r="DA17" s="22">
        <v>26024.556140576031</v>
      </c>
      <c r="DC17" s="154">
        <v>0.65</v>
      </c>
      <c r="DD17" s="125">
        <v>100511.05145067743</v>
      </c>
      <c r="DE17" s="125">
        <v>61324.19760439454</v>
      </c>
      <c r="DF17" s="125">
        <v>100564.05145067742</v>
      </c>
      <c r="DG17" s="22">
        <v>52049.112281152062</v>
      </c>
      <c r="DI17" s="154">
        <v>0.65</v>
      </c>
      <c r="DJ17">
        <v>151264.48567465466</v>
      </c>
      <c r="DK17">
        <v>93142.607883345947</v>
      </c>
      <c r="DL17">
        <v>151317.48567465463</v>
      </c>
      <c r="DM17" s="22">
        <v>78073.668421728085</v>
      </c>
      <c r="DO17" s="154">
        <v>0.65</v>
      </c>
      <c r="DP17">
        <v>50928.635852972831</v>
      </c>
      <c r="DQ17">
        <v>44590.46342235271</v>
      </c>
      <c r="DR17">
        <v>49810.617226700233</v>
      </c>
      <c r="DS17" s="22">
        <v>26024.556140576031</v>
      </c>
      <c r="DU17" s="154">
        <v>0.65</v>
      </c>
      <c r="DV17">
        <v>105918.55048994004</v>
      </c>
      <c r="DW17">
        <v>93789.110649885217</v>
      </c>
      <c r="DX17">
        <v>100564.05145067742</v>
      </c>
      <c r="DY17" s="22">
        <v>52049.112281152062</v>
      </c>
      <c r="EA17" s="154">
        <v>0.65</v>
      </c>
      <c r="EB17">
        <v>160908.46512690725</v>
      </c>
      <c r="EC17">
        <v>142987.75787741772</v>
      </c>
      <c r="ED17">
        <v>151317.48567465463</v>
      </c>
      <c r="EE17" s="22">
        <v>78073.668421728085</v>
      </c>
      <c r="EG17" s="154">
        <v>0.65</v>
      </c>
      <c r="EH17">
        <v>51701.792113339325</v>
      </c>
      <c r="EI17">
        <v>52036.928659177</v>
      </c>
      <c r="EJ17">
        <v>49810.617226700233</v>
      </c>
      <c r="EK17" s="22">
        <v>26024.556140576031</v>
      </c>
      <c r="EM17" s="154">
        <v>0.65</v>
      </c>
      <c r="EN17">
        <v>107255.32323567149</v>
      </c>
      <c r="EO17">
        <v>108435.52374117904</v>
      </c>
      <c r="EP17">
        <v>100564.05145067742</v>
      </c>
      <c r="EQ17" s="22">
        <v>52049.112281152062</v>
      </c>
      <c r="ES17" s="154">
        <v>0.65</v>
      </c>
      <c r="ET17">
        <v>162808.85435800365</v>
      </c>
      <c r="EU17">
        <v>164834.11882318108</v>
      </c>
      <c r="EV17">
        <v>151317.48567465463</v>
      </c>
      <c r="EW17" s="22">
        <v>78073.668421728085</v>
      </c>
      <c r="EY17" s="154">
        <v>0.65</v>
      </c>
      <c r="EZ17">
        <v>100079.76557739446</v>
      </c>
      <c r="FA17">
        <v>99993.6912020296</v>
      </c>
      <c r="FB17">
        <v>100564.05145067742</v>
      </c>
      <c r="FC17" s="22">
        <v>52049.112281152062</v>
      </c>
      <c r="FE17" s="154">
        <v>0.65</v>
      </c>
      <c r="FF17">
        <v>49178.707446880813</v>
      </c>
      <c r="FG17">
        <v>49068.593757461102</v>
      </c>
      <c r="FH17">
        <v>49810.617226700233</v>
      </c>
      <c r="FI17" s="22">
        <v>26024.556140576031</v>
      </c>
      <c r="FK17" s="154">
        <v>0.65</v>
      </c>
      <c r="FL17">
        <v>150980.8237079081</v>
      </c>
      <c r="FM17">
        <v>150918.78864659811</v>
      </c>
      <c r="FN17">
        <v>151317.48567465463</v>
      </c>
      <c r="FO17" s="22">
        <v>78073.668421728085</v>
      </c>
      <c r="FQ17" s="154">
        <v>0.65</v>
      </c>
      <c r="FR17">
        <v>51573.521078246456</v>
      </c>
      <c r="FS17">
        <v>51886.02155906774</v>
      </c>
      <c r="FT17">
        <v>49810.617226700233</v>
      </c>
      <c r="FU17" s="22">
        <v>26024.556140576031</v>
      </c>
      <c r="FW17" s="154">
        <v>0.65</v>
      </c>
      <c r="FX17">
        <v>107221.52363962533</v>
      </c>
      <c r="FY17">
        <v>108395.75951053652</v>
      </c>
      <c r="FZ17">
        <v>100564.05145067742</v>
      </c>
      <c r="GA17" s="22">
        <v>52049.112281152062</v>
      </c>
      <c r="GC17" s="154">
        <v>0.65</v>
      </c>
      <c r="GD17">
        <v>162869.52620100419</v>
      </c>
      <c r="GE17">
        <v>164905.4974620053</v>
      </c>
      <c r="GF17">
        <v>151317.48567465463</v>
      </c>
      <c r="GG17" s="22">
        <v>78073.668421728085</v>
      </c>
      <c r="GI17" s="154">
        <v>0.65</v>
      </c>
      <c r="GJ17">
        <v>51669.481078430726</v>
      </c>
      <c r="GK17">
        <v>51404.645156251594</v>
      </c>
      <c r="GL17">
        <v>49810.617226700233</v>
      </c>
      <c r="GM17" s="22">
        <v>26024.556140576031</v>
      </c>
      <c r="GO17" s="154">
        <v>0.65</v>
      </c>
      <c r="GP17">
        <v>107400.24094085583</v>
      </c>
      <c r="GQ17">
        <v>107420.31586688019</v>
      </c>
      <c r="GR17">
        <v>100564.05145067742</v>
      </c>
      <c r="GS17" s="22">
        <v>52049.112281152062</v>
      </c>
      <c r="GU17" s="154">
        <v>0.65</v>
      </c>
      <c r="GV17">
        <v>163131.00080328091</v>
      </c>
      <c r="GW17">
        <v>163435.9865775088</v>
      </c>
      <c r="GX17">
        <v>151317.48567465463</v>
      </c>
      <c r="GY17" s="22">
        <v>78073.668421728085</v>
      </c>
      <c r="HA17" s="154">
        <v>70000</v>
      </c>
      <c r="HB17">
        <v>386054.04025298136</v>
      </c>
      <c r="HC17">
        <v>391641.51256960002</v>
      </c>
      <c r="HD17">
        <v>354331.22257056332</v>
      </c>
      <c r="HE17" s="22">
        <v>182171.89298403219</v>
      </c>
      <c r="HG17" s="154">
        <v>0.13</v>
      </c>
      <c r="HH17">
        <v>35575.245011237399</v>
      </c>
      <c r="HI17">
        <v>35567.879554682171</v>
      </c>
      <c r="HJ17">
        <v>35629.901010428432</v>
      </c>
      <c r="HK17" s="22">
        <v>18659.306670967471</v>
      </c>
      <c r="HM17" s="154">
        <v>0.13</v>
      </c>
      <c r="HN17">
        <v>75211.768806469176</v>
      </c>
      <c r="HO17">
        <v>75743.942914544139</v>
      </c>
      <c r="HP17">
        <v>72202.619018133817</v>
      </c>
      <c r="HQ17" s="22">
        <v>37318.613341934943</v>
      </c>
      <c r="HS17" s="154">
        <v>0.13</v>
      </c>
      <c r="HT17">
        <v>114848.29260170096</v>
      </c>
      <c r="HU17">
        <v>115920.00627440613</v>
      </c>
      <c r="HV17">
        <v>108775.3370258392</v>
      </c>
      <c r="HW17" s="22">
        <v>55977.92001290241</v>
      </c>
      <c r="HY17" s="154">
        <v>0.13</v>
      </c>
      <c r="HZ17">
        <v>51907.686588335928</v>
      </c>
      <c r="IA17">
        <v>52238.810862516359</v>
      </c>
      <c r="IB17">
        <v>50039.247907754521</v>
      </c>
      <c r="IC17" s="22">
        <v>26024.556140576031</v>
      </c>
      <c r="IE17" s="154">
        <v>0.13</v>
      </c>
      <c r="IF17">
        <v>107638.44645076102</v>
      </c>
      <c r="IG17">
        <v>108845.91034462774</v>
      </c>
      <c r="IH17">
        <v>100792.68213173171</v>
      </c>
      <c r="II17" s="22">
        <v>52049.112281152062</v>
      </c>
      <c r="IK17" s="154">
        <v>0.13</v>
      </c>
      <c r="IL17">
        <v>163369.20631318612</v>
      </c>
      <c r="IM17">
        <v>165453.00982673917</v>
      </c>
      <c r="IN17">
        <v>151546.11635570892</v>
      </c>
      <c r="IO17" s="22">
        <v>78073.668421728085</v>
      </c>
    </row>
    <row r="18" spans="3:249" x14ac:dyDescent="0.2">
      <c r="C18" s="23">
        <v>0.26</v>
      </c>
      <c r="D18" s="125">
        <v>11822.988479827372</v>
      </c>
      <c r="E18" s="125">
        <v>21068.970664262393</v>
      </c>
      <c r="F18" s="125">
        <v>23010.786187367692</v>
      </c>
      <c r="G18" s="22">
        <v>28303.549741055696</v>
      </c>
      <c r="H18" s="137"/>
      <c r="I18" s="23">
        <v>0.26</v>
      </c>
      <c r="J18" s="125">
        <v>26024.556140576031</v>
      </c>
      <c r="K18" s="125">
        <v>49564.144633516553</v>
      </c>
      <c r="L18" s="125">
        <v>51423.0134146989</v>
      </c>
      <c r="M18" s="22">
        <v>51752.505738266533</v>
      </c>
      <c r="O18" s="23">
        <v>0.26</v>
      </c>
      <c r="P18" s="125">
        <v>39036.834210864043</v>
      </c>
      <c r="Q18" s="125">
        <v>74940.861745505157</v>
      </c>
      <c r="R18" s="125">
        <v>79288.393345911434</v>
      </c>
      <c r="S18" s="22">
        <v>80056.05547932224</v>
      </c>
      <c r="U18" s="23">
        <v>0.26</v>
      </c>
      <c r="V18" s="125">
        <v>52049.112281152062</v>
      </c>
      <c r="W18" s="125">
        <v>100317.57885749375</v>
      </c>
      <c r="X18" s="125">
        <v>107153.773277124</v>
      </c>
      <c r="Y18" s="22">
        <v>108359.60522037793</v>
      </c>
      <c r="AA18" s="23">
        <v>0.26</v>
      </c>
      <c r="AB18" s="125">
        <v>65061.390351440074</v>
      </c>
      <c r="AC18" s="125">
        <v>125694.29596948235</v>
      </c>
      <c r="AD18" s="125">
        <v>135019.15320833653</v>
      </c>
      <c r="AE18" s="22">
        <v>136663.15496143364</v>
      </c>
      <c r="AG18" s="23">
        <v>0.26</v>
      </c>
      <c r="AH18" s="125">
        <v>78073.668421728085</v>
      </c>
      <c r="AI18" s="125">
        <v>151071.01308147094</v>
      </c>
      <c r="AJ18" s="125">
        <v>162884.53313954908</v>
      </c>
      <c r="AK18" s="22">
        <v>164966.70470248934</v>
      </c>
      <c r="AM18" s="23">
        <v>0.26</v>
      </c>
      <c r="AN18" s="125">
        <v>91085.946492016097</v>
      </c>
      <c r="AO18" s="125">
        <v>176447.73019345955</v>
      </c>
      <c r="AP18" s="125">
        <v>190749.91307076166</v>
      </c>
      <c r="AQ18" s="22">
        <v>193270.25444354504</v>
      </c>
      <c r="AS18" s="154">
        <v>0.28000000000000003</v>
      </c>
      <c r="AT18">
        <v>86637.784444444405</v>
      </c>
      <c r="AU18">
        <v>94037.756065599999</v>
      </c>
      <c r="AV18">
        <v>94687.0514562483</v>
      </c>
      <c r="AW18" s="22">
        <v>94242.673829048304</v>
      </c>
      <c r="AY18" s="154">
        <v>0.28000000000000003</v>
      </c>
      <c r="AZ18">
        <v>173275.568888888</v>
      </c>
      <c r="BA18">
        <v>188368.83298559999</v>
      </c>
      <c r="BB18">
        <v>190409.97661657</v>
      </c>
      <c r="BC18">
        <v>190839.97787549501</v>
      </c>
      <c r="BD18" s="22">
        <v>190379.18262109501</v>
      </c>
      <c r="BF18" s="154">
        <v>0.28000000000000003</v>
      </c>
      <c r="BG18">
        <v>259913.35333333301</v>
      </c>
      <c r="BH18">
        <v>282699.90990560001</v>
      </c>
      <c r="BI18">
        <v>286287.98384821002</v>
      </c>
      <c r="BJ18">
        <v>286992.90429474099</v>
      </c>
      <c r="BK18" s="22">
        <v>286515.69141314097</v>
      </c>
      <c r="BM18" s="154">
        <v>0.28000000000000003</v>
      </c>
      <c r="BN18">
        <v>69350.97604379784</v>
      </c>
      <c r="BO18">
        <v>69343.671867637429</v>
      </c>
      <c r="BP18">
        <v>69400.298581814568</v>
      </c>
      <c r="BQ18" s="22">
        <v>42487.759089152416</v>
      </c>
      <c r="BS18" s="154">
        <v>0.28000000000000003</v>
      </c>
      <c r="BT18">
        <v>142905.27197445859</v>
      </c>
      <c r="BU18">
        <v>143382.52571314943</v>
      </c>
      <c r="BV18">
        <v>140197.36520142606</v>
      </c>
      <c r="BW18" s="22">
        <v>84975.518178304832</v>
      </c>
      <c r="BY18" s="154">
        <v>0.28000000000000003</v>
      </c>
      <c r="BZ18">
        <v>216459.56790511936</v>
      </c>
      <c r="CA18">
        <v>217421.37955866146</v>
      </c>
      <c r="CB18">
        <v>210994.43182103758</v>
      </c>
      <c r="CC18" s="22">
        <v>127463.27726745726</v>
      </c>
      <c r="CE18" s="154">
        <v>0.7</v>
      </c>
      <c r="CF18">
        <v>47716.456058879572</v>
      </c>
      <c r="CG18">
        <v>47348.29800687141</v>
      </c>
      <c r="CH18">
        <v>49810.617226700233</v>
      </c>
      <c r="CI18" s="22">
        <v>26024.556140576031</v>
      </c>
      <c r="CK18" s="154">
        <v>0.7</v>
      </c>
      <c r="CL18">
        <v>99252.266966820025</v>
      </c>
      <c r="CM18">
        <v>99020.163424883227</v>
      </c>
      <c r="CN18">
        <v>100564.05145067742</v>
      </c>
      <c r="CO18" s="22">
        <v>52049.112281152062</v>
      </c>
      <c r="CQ18" s="154">
        <v>0.7</v>
      </c>
      <c r="CR18">
        <v>150788.07787476049</v>
      </c>
      <c r="CS18">
        <v>150692.02884289503</v>
      </c>
      <c r="CT18">
        <v>151317.48567465463</v>
      </c>
      <c r="CU18" s="22">
        <v>78073.668421728085</v>
      </c>
      <c r="CW18" s="154">
        <v>0.7</v>
      </c>
      <c r="CX18">
        <v>49757.61722670024</v>
      </c>
      <c r="CY18">
        <v>27772.880672786097</v>
      </c>
      <c r="CZ18">
        <v>49810.617226700233</v>
      </c>
      <c r="DA18" s="22">
        <v>26024.556140576031</v>
      </c>
      <c r="DC18" s="154">
        <v>0.7</v>
      </c>
      <c r="DD18" s="125">
        <v>100511.05145067743</v>
      </c>
      <c r="DE18" s="125">
        <v>57681.530612511</v>
      </c>
      <c r="DF18" s="125">
        <v>100564.05145067742</v>
      </c>
      <c r="DG18" s="22">
        <v>52049.112281152062</v>
      </c>
      <c r="DI18" s="154">
        <v>0.7</v>
      </c>
      <c r="DJ18">
        <v>151264.48567465466</v>
      </c>
      <c r="DK18">
        <v>87590.180552235892</v>
      </c>
      <c r="DL18">
        <v>151317.48567465463</v>
      </c>
      <c r="DM18" s="22">
        <v>78073.668421728085</v>
      </c>
      <c r="DO18" s="154">
        <v>0.7</v>
      </c>
      <c r="DP18">
        <v>50871.630218511622</v>
      </c>
      <c r="DQ18">
        <v>44020.407077740609</v>
      </c>
      <c r="DR18">
        <v>49810.617226700233</v>
      </c>
      <c r="DS18" s="22">
        <v>26024.556140576031</v>
      </c>
      <c r="DU18" s="154">
        <v>0.7</v>
      </c>
      <c r="DV18">
        <v>105804.53922101762</v>
      </c>
      <c r="DW18">
        <v>92648.997960661014</v>
      </c>
      <c r="DX18">
        <v>100564.05145067742</v>
      </c>
      <c r="DY18" s="22">
        <v>52049.112281152062</v>
      </c>
      <c r="EA18" s="154">
        <v>0.7</v>
      </c>
      <c r="EB18">
        <v>160737.44822352362</v>
      </c>
      <c r="EC18">
        <v>141277.58884358144</v>
      </c>
      <c r="ED18">
        <v>151317.48567465463</v>
      </c>
      <c r="EE18" s="22">
        <v>78073.668421728085</v>
      </c>
      <c r="EG18" s="154">
        <v>0.7</v>
      </c>
      <c r="EH18">
        <v>51701.792113339325</v>
      </c>
      <c r="EI18">
        <v>52036.928659177</v>
      </c>
      <c r="EJ18">
        <v>49810.617226700233</v>
      </c>
      <c r="EK18" s="22">
        <v>26024.556140576031</v>
      </c>
      <c r="EM18" s="154">
        <v>0.7</v>
      </c>
      <c r="EN18">
        <v>107255.32323567149</v>
      </c>
      <c r="EO18">
        <v>108435.52374117904</v>
      </c>
      <c r="EP18">
        <v>100564.05145067742</v>
      </c>
      <c r="EQ18" s="22">
        <v>52049.112281152062</v>
      </c>
      <c r="ES18" s="154">
        <v>0.7</v>
      </c>
      <c r="ET18">
        <v>162808.85435800365</v>
      </c>
      <c r="EU18">
        <v>164834.11882318108</v>
      </c>
      <c r="EV18">
        <v>151317.48567465463</v>
      </c>
      <c r="EW18" s="22">
        <v>78073.668421728085</v>
      </c>
      <c r="EY18" s="154">
        <v>0.7</v>
      </c>
      <c r="EZ18">
        <v>100079.76557739446</v>
      </c>
      <c r="FA18">
        <v>99993.6912020296</v>
      </c>
      <c r="FB18">
        <v>100564.05145067742</v>
      </c>
      <c r="FC18" s="22">
        <v>52049.112281152062</v>
      </c>
      <c r="FE18" s="154">
        <v>0.7</v>
      </c>
      <c r="FF18">
        <v>49178.707446880813</v>
      </c>
      <c r="FG18">
        <v>49068.593757461102</v>
      </c>
      <c r="FH18">
        <v>49810.617226700233</v>
      </c>
      <c r="FI18" s="22">
        <v>26024.556140576031</v>
      </c>
      <c r="FK18" s="154">
        <v>0.7</v>
      </c>
      <c r="FL18">
        <v>150980.8237079081</v>
      </c>
      <c r="FM18">
        <v>150918.78864659811</v>
      </c>
      <c r="FN18">
        <v>151317.48567465463</v>
      </c>
      <c r="FO18" s="22">
        <v>78073.668421728085</v>
      </c>
      <c r="FQ18" s="154">
        <v>0.7</v>
      </c>
      <c r="FR18">
        <v>51597.511078292519</v>
      </c>
      <c r="FS18">
        <v>51914.245088533702</v>
      </c>
      <c r="FT18">
        <v>49810.617226700233</v>
      </c>
      <c r="FU18" s="22">
        <v>26024.556140576031</v>
      </c>
      <c r="FW18" s="154">
        <v>0.7</v>
      </c>
      <c r="FX18">
        <v>107266.20296493295</v>
      </c>
      <c r="FY18">
        <v>108448.32342266313</v>
      </c>
      <c r="FZ18">
        <v>100564.05145067742</v>
      </c>
      <c r="GA18" s="22">
        <v>52049.112281152062</v>
      </c>
      <c r="GC18" s="154">
        <v>0.7</v>
      </c>
      <c r="GD18">
        <v>162934.89485157339</v>
      </c>
      <c r="GE18">
        <v>164982.40175679256</v>
      </c>
      <c r="GF18">
        <v>151317.48567465463</v>
      </c>
      <c r="GG18" s="22">
        <v>78073.668421728085</v>
      </c>
      <c r="GI18" s="154">
        <v>0.7</v>
      </c>
      <c r="GJ18">
        <v>51669.481078430726</v>
      </c>
      <c r="GK18">
        <v>51998.915676931589</v>
      </c>
      <c r="GL18">
        <v>49810.617226700233</v>
      </c>
      <c r="GM18" s="22">
        <v>26024.556140576031</v>
      </c>
      <c r="GO18" s="154">
        <v>0.7</v>
      </c>
      <c r="GP18">
        <v>107400.24094085583</v>
      </c>
      <c r="GQ18">
        <v>108606.01515904297</v>
      </c>
      <c r="GR18">
        <v>100564.05145067742</v>
      </c>
      <c r="GS18" s="22">
        <v>52049.112281152062</v>
      </c>
      <c r="GU18" s="154">
        <v>0.7</v>
      </c>
      <c r="GV18">
        <v>163131.00080328091</v>
      </c>
      <c r="GW18">
        <v>165213.11464115439</v>
      </c>
      <c r="GX18">
        <v>151317.48567465463</v>
      </c>
      <c r="GY18" s="22">
        <v>78073.668421728085</v>
      </c>
      <c r="HA18" s="154">
        <v>75000</v>
      </c>
      <c r="HB18">
        <v>413919.42018419388</v>
      </c>
      <c r="HC18">
        <v>419945.06231065566</v>
      </c>
      <c r="HD18">
        <v>379707.93968255195</v>
      </c>
      <c r="HE18" s="22">
        <v>195184.17105432024</v>
      </c>
      <c r="HG18" s="154">
        <v>0.14000000000000001</v>
      </c>
      <c r="HH18">
        <v>34342.663584137175</v>
      </c>
      <c r="HI18">
        <v>34306.920651222128</v>
      </c>
      <c r="HJ18">
        <v>34558.4416174785</v>
      </c>
      <c r="HK18" s="22">
        <v>18136.783656177442</v>
      </c>
      <c r="HM18" s="154">
        <v>0.14000000000000001</v>
      </c>
      <c r="HN18">
        <v>72746.605952268728</v>
      </c>
      <c r="HO18">
        <v>73222.025107624053</v>
      </c>
      <c r="HP18">
        <v>70059.700232233954</v>
      </c>
      <c r="HQ18" s="22">
        <v>36273.567312354884</v>
      </c>
      <c r="HS18" s="154">
        <v>0.14000000000000001</v>
      </c>
      <c r="HT18">
        <v>111150.5483204003</v>
      </c>
      <c r="HU18">
        <v>112137.12956402598</v>
      </c>
      <c r="HV18">
        <v>105560.95884698939</v>
      </c>
      <c r="HW18" s="22">
        <v>54410.35096853233</v>
      </c>
      <c r="HY18" s="154">
        <v>0.14000000000000001</v>
      </c>
      <c r="HZ18">
        <v>51925.777481091565</v>
      </c>
      <c r="IA18">
        <v>52256.805970393616</v>
      </c>
      <c r="IB18">
        <v>50057.881581487643</v>
      </c>
      <c r="IC18" s="22">
        <v>26024.556140576031</v>
      </c>
      <c r="IE18" s="154">
        <v>0.14000000000000001</v>
      </c>
      <c r="IF18">
        <v>107656.53734351667</v>
      </c>
      <c r="IG18">
        <v>108863.90545250502</v>
      </c>
      <c r="IH18">
        <v>100811.31580546484</v>
      </c>
      <c r="II18" s="22">
        <v>52049.112281152062</v>
      </c>
      <c r="IK18" s="154">
        <v>0.14000000000000001</v>
      </c>
      <c r="IL18">
        <v>163387.29720594175</v>
      </c>
      <c r="IM18">
        <v>165471.00493461642</v>
      </c>
      <c r="IN18">
        <v>151564.75002944202</v>
      </c>
      <c r="IO18" s="22">
        <v>78073.668421728085</v>
      </c>
    </row>
    <row r="19" spans="3:249" x14ac:dyDescent="0.2">
      <c r="C19" s="23">
        <v>0.28000000000000003</v>
      </c>
      <c r="D19" s="125">
        <v>11822.988479827372</v>
      </c>
      <c r="E19" s="125">
        <v>21068.970664262393</v>
      </c>
      <c r="F19" s="125">
        <v>23010.786187367692</v>
      </c>
      <c r="G19" s="22">
        <v>28303.549741055696</v>
      </c>
      <c r="H19" s="137"/>
      <c r="I19" s="23">
        <v>0.28000000000000003</v>
      </c>
      <c r="J19" s="125">
        <v>26024.556140576031</v>
      </c>
      <c r="K19" s="125">
        <v>49564.144633516553</v>
      </c>
      <c r="L19" s="125">
        <v>51423.0134146989</v>
      </c>
      <c r="M19" s="22">
        <v>51752.505738266533</v>
      </c>
      <c r="O19" s="23">
        <v>0.28000000000000003</v>
      </c>
      <c r="P19" s="125">
        <v>39036.834210864043</v>
      </c>
      <c r="Q19" s="125">
        <v>74940.861745505157</v>
      </c>
      <c r="R19" s="125">
        <v>79288.393345911434</v>
      </c>
      <c r="S19" s="22">
        <v>80056.05547932224</v>
      </c>
      <c r="U19" s="23">
        <v>0.28000000000000003</v>
      </c>
      <c r="V19" s="125">
        <v>52049.112281152062</v>
      </c>
      <c r="W19" s="125">
        <v>100317.57885749375</v>
      </c>
      <c r="X19" s="125">
        <v>107153.773277124</v>
      </c>
      <c r="Y19" s="22">
        <v>108359.60522037793</v>
      </c>
      <c r="AA19" s="23">
        <v>0.28000000000000003</v>
      </c>
      <c r="AB19" s="125">
        <v>65061.390351440074</v>
      </c>
      <c r="AC19" s="125">
        <v>125694.29596948235</v>
      </c>
      <c r="AD19" s="125">
        <v>135019.15320833653</v>
      </c>
      <c r="AE19" s="22">
        <v>136663.15496143364</v>
      </c>
      <c r="AG19" s="23">
        <v>0.28000000000000003</v>
      </c>
      <c r="AH19" s="125">
        <v>78073.668421728085</v>
      </c>
      <c r="AI19" s="125">
        <v>151071.01308147094</v>
      </c>
      <c r="AJ19" s="125">
        <v>162884.53313954908</v>
      </c>
      <c r="AK19" s="22">
        <v>164966.70470248934</v>
      </c>
      <c r="AM19" s="23">
        <v>0.28000000000000003</v>
      </c>
      <c r="AN19" s="125">
        <v>91085.946492016097</v>
      </c>
      <c r="AO19" s="125">
        <v>176447.73019345955</v>
      </c>
      <c r="AP19" s="125">
        <v>190749.91307076166</v>
      </c>
      <c r="AQ19" s="22">
        <v>193270.25444354504</v>
      </c>
      <c r="AS19" s="154">
        <v>0.3</v>
      </c>
      <c r="AT19">
        <v>84682.533333333296</v>
      </c>
      <c r="AU19">
        <v>92611.074355999997</v>
      </c>
      <c r="AV19">
        <v>93310.533703123205</v>
      </c>
      <c r="AW19" s="22">
        <v>92879.972121123195</v>
      </c>
      <c r="AY19" s="154">
        <v>0.3</v>
      </c>
      <c r="AZ19">
        <v>169365.06666666601</v>
      </c>
      <c r="BA19">
        <v>185536.42105599999</v>
      </c>
      <c r="BB19">
        <v>187732.24355004</v>
      </c>
      <c r="BC19">
        <v>188187.86200945801</v>
      </c>
      <c r="BD19" s="22">
        <v>187741.338845458</v>
      </c>
      <c r="BF19" s="154">
        <v>0.3</v>
      </c>
      <c r="BG19">
        <v>254047.6</v>
      </c>
      <c r="BH19">
        <v>278461.76775599999</v>
      </c>
      <c r="BI19">
        <v>282315.17845722497</v>
      </c>
      <c r="BJ19">
        <v>283065.19031579403</v>
      </c>
      <c r="BK19" s="22">
        <v>282602.70556979399</v>
      </c>
      <c r="BM19" s="154">
        <v>0.3</v>
      </c>
      <c r="BN19">
        <v>68780.605238463409</v>
      </c>
      <c r="BO19">
        <v>68784.163603421111</v>
      </c>
      <c r="BP19">
        <v>68768.37337681088</v>
      </c>
      <c r="BQ19" s="22">
        <v>41956.688026295116</v>
      </c>
      <c r="BS19" s="154">
        <v>0.3</v>
      </c>
      <c r="BT19">
        <v>141759.94839272948</v>
      </c>
      <c r="BU19">
        <v>142260.70279204921</v>
      </c>
      <c r="BV19">
        <v>138918.87120946642</v>
      </c>
      <c r="BW19" s="22">
        <v>83913.376052590233</v>
      </c>
      <c r="BY19" s="154">
        <v>0.3</v>
      </c>
      <c r="BZ19">
        <v>214739.29154699552</v>
      </c>
      <c r="CA19">
        <v>215737.24198067733</v>
      </c>
      <c r="CB19">
        <v>209069.36904212198</v>
      </c>
      <c r="CC19" s="22">
        <v>125870.06407888535</v>
      </c>
      <c r="CE19" s="154">
        <v>0.75</v>
      </c>
      <c r="CF19">
        <v>47433.97606605757</v>
      </c>
      <c r="CG19">
        <v>47015.968603551402</v>
      </c>
      <c r="CH19">
        <v>49810.617226700233</v>
      </c>
      <c r="CI19" s="22">
        <v>26024.556140576031</v>
      </c>
      <c r="CK19" s="154">
        <v>0.75</v>
      </c>
      <c r="CL19">
        <v>98670.019291099321</v>
      </c>
      <c r="CM19">
        <v>98335.166159329427</v>
      </c>
      <c r="CN19">
        <v>100564.05145067742</v>
      </c>
      <c r="CO19" s="22">
        <v>52049.112281152062</v>
      </c>
      <c r="CQ19" s="154">
        <v>0.75</v>
      </c>
      <c r="CR19">
        <v>149906.06251614104</v>
      </c>
      <c r="CS19">
        <v>149654.36371510744</v>
      </c>
      <c r="CT19">
        <v>151317.48567465463</v>
      </c>
      <c r="CU19" s="22">
        <v>78073.668421728085</v>
      </c>
      <c r="CW19" s="154">
        <v>0.75</v>
      </c>
      <c r="CX19">
        <v>49757.61722670024</v>
      </c>
      <c r="CY19">
        <v>26039.974020129055</v>
      </c>
      <c r="CZ19">
        <v>49810.617226700233</v>
      </c>
      <c r="DA19" s="22">
        <v>26024.556140576031</v>
      </c>
      <c r="DC19" s="154">
        <v>0.75</v>
      </c>
      <c r="DD19" s="125">
        <v>100511.05145067743</v>
      </c>
      <c r="DE19" s="125">
        <v>54038.863620627453</v>
      </c>
      <c r="DF19" s="125">
        <v>100564.05145067742</v>
      </c>
      <c r="DG19" s="22">
        <v>52049.112281152062</v>
      </c>
      <c r="DI19" s="154">
        <v>0.75</v>
      </c>
      <c r="DJ19">
        <v>151264.48567465466</v>
      </c>
      <c r="DK19">
        <v>82037.753221125851</v>
      </c>
      <c r="DL19">
        <v>151317.48567465463</v>
      </c>
      <c r="DM19" s="22">
        <v>78073.668421728085</v>
      </c>
      <c r="DO19" s="154">
        <v>0.75</v>
      </c>
      <c r="DP19">
        <v>50814.624584050405</v>
      </c>
      <c r="DQ19">
        <v>43450.3507331285</v>
      </c>
      <c r="DR19">
        <v>49810.617226700233</v>
      </c>
      <c r="DS19" s="22">
        <v>26024.556140576031</v>
      </c>
      <c r="DU19" s="154">
        <v>0.75</v>
      </c>
      <c r="DV19">
        <v>105690.52795209519</v>
      </c>
      <c r="DW19">
        <v>91508.885271436797</v>
      </c>
      <c r="DX19">
        <v>100564.05145067742</v>
      </c>
      <c r="DY19" s="22">
        <v>52049.112281152062</v>
      </c>
      <c r="EA19" s="154">
        <v>0.75</v>
      </c>
      <c r="EB19">
        <v>160566.43132013996</v>
      </c>
      <c r="EC19">
        <v>139567.4198097451</v>
      </c>
      <c r="ED19">
        <v>151317.48567465463</v>
      </c>
      <c r="EE19" s="22">
        <v>78073.668421728085</v>
      </c>
      <c r="EG19" s="154">
        <v>0.75</v>
      </c>
      <c r="EH19">
        <v>51701.792113339325</v>
      </c>
      <c r="EI19">
        <v>52036.928659177</v>
      </c>
      <c r="EJ19">
        <v>49810.617226700233</v>
      </c>
      <c r="EK19" s="22">
        <v>26024.556140576031</v>
      </c>
      <c r="EM19" s="154">
        <v>0.75</v>
      </c>
      <c r="EN19">
        <v>107255.32323567149</v>
      </c>
      <c r="EO19">
        <v>108435.52374117904</v>
      </c>
      <c r="EP19">
        <v>100564.05145067742</v>
      </c>
      <c r="EQ19" s="22">
        <v>52049.112281152062</v>
      </c>
      <c r="ES19" s="154">
        <v>0.75</v>
      </c>
      <c r="ET19">
        <v>162808.85435800365</v>
      </c>
      <c r="EU19">
        <v>164834.11882318108</v>
      </c>
      <c r="EV19">
        <v>151317.48567465463</v>
      </c>
      <c r="EW19" s="22">
        <v>78073.668421728085</v>
      </c>
      <c r="EY19" s="154">
        <v>0.75</v>
      </c>
      <c r="EZ19">
        <v>100079.76557739446</v>
      </c>
      <c r="FA19">
        <v>99993.6912020296</v>
      </c>
      <c r="FB19">
        <v>100564.05145067742</v>
      </c>
      <c r="FC19" s="22">
        <v>52049.112281152062</v>
      </c>
      <c r="FE19" s="154">
        <v>0.75</v>
      </c>
      <c r="FF19">
        <v>49178.707446880813</v>
      </c>
      <c r="FG19">
        <v>49068.593757461102</v>
      </c>
      <c r="FH19">
        <v>49810.617226700233</v>
      </c>
      <c r="FI19" s="22">
        <v>26024.556140576031</v>
      </c>
      <c r="FK19" s="154">
        <v>0.75</v>
      </c>
      <c r="FL19">
        <v>150980.8237079081</v>
      </c>
      <c r="FM19">
        <v>150918.78864659811</v>
      </c>
      <c r="FN19">
        <v>151317.48567465463</v>
      </c>
      <c r="FO19" s="22">
        <v>78073.668421728085</v>
      </c>
      <c r="FQ19" s="154">
        <v>0.75</v>
      </c>
      <c r="FR19">
        <v>51621.501078338595</v>
      </c>
      <c r="FS19">
        <v>51942.468617999664</v>
      </c>
      <c r="FT19">
        <v>49810.617226700233</v>
      </c>
      <c r="FU19" s="22">
        <v>26024.556140576031</v>
      </c>
      <c r="FW19" s="154">
        <v>0.75</v>
      </c>
      <c r="FX19">
        <v>107310.88229024058</v>
      </c>
      <c r="FY19">
        <v>108500.88733478976</v>
      </c>
      <c r="FZ19">
        <v>100564.05145067742</v>
      </c>
      <c r="GA19" s="22">
        <v>52049.112281152062</v>
      </c>
      <c r="GC19" s="154">
        <v>0.75</v>
      </c>
      <c r="GD19">
        <v>163000.2635021426</v>
      </c>
      <c r="GE19">
        <v>165059.30605157983</v>
      </c>
      <c r="GF19">
        <v>151317.48567465463</v>
      </c>
      <c r="GG19" s="22">
        <v>78073.668421728085</v>
      </c>
      <c r="GI19" s="154">
        <v>0.75</v>
      </c>
      <c r="GJ19">
        <v>51669.481078430726</v>
      </c>
      <c r="GK19">
        <v>52593.186197611583</v>
      </c>
      <c r="GL19">
        <v>49810.617226700233</v>
      </c>
      <c r="GM19" s="22">
        <v>26024.556140576031</v>
      </c>
      <c r="GO19" s="154">
        <v>0.75</v>
      </c>
      <c r="GP19">
        <v>107400.24094085583</v>
      </c>
      <c r="GQ19">
        <v>109791.71445120579</v>
      </c>
      <c r="GR19">
        <v>100564.05145067742</v>
      </c>
      <c r="GS19" s="22">
        <v>52049.112281152062</v>
      </c>
      <c r="GU19" s="154">
        <v>0.75</v>
      </c>
      <c r="GV19">
        <v>163131.00080328091</v>
      </c>
      <c r="GW19">
        <v>166990.24270479995</v>
      </c>
      <c r="GX19">
        <v>151317.48567465463</v>
      </c>
      <c r="GY19" s="22">
        <v>78073.668421728085</v>
      </c>
      <c r="HA19" s="154">
        <v>80000</v>
      </c>
      <c r="HB19">
        <v>441784.80011540646</v>
      </c>
      <c r="HC19">
        <v>448248.61205171136</v>
      </c>
      <c r="HD19">
        <v>405084.65679454053</v>
      </c>
      <c r="HE19" s="22">
        <v>208196.44912460825</v>
      </c>
      <c r="HG19" s="154">
        <v>0.15</v>
      </c>
      <c r="HH19">
        <v>33174.109530750793</v>
      </c>
      <c r="HI19">
        <v>33111.271402673352</v>
      </c>
      <c r="HJ19">
        <v>33543.718305593247</v>
      </c>
      <c r="HK19" s="22">
        <v>17646.118071580975</v>
      </c>
      <c r="HM19" s="154">
        <v>0.15</v>
      </c>
      <c r="HN19">
        <v>70409.497845495964</v>
      </c>
      <c r="HO19">
        <v>70830.726610526501</v>
      </c>
      <c r="HP19">
        <v>68030.253608463448</v>
      </c>
      <c r="HQ19" s="22">
        <v>35292.23614316195</v>
      </c>
      <c r="HS19" s="154">
        <v>0.15</v>
      </c>
      <c r="HT19">
        <v>107644.88616024113</v>
      </c>
      <c r="HU19">
        <v>108550.18181837966</v>
      </c>
      <c r="HV19">
        <v>102516.78891133366</v>
      </c>
      <c r="HW19" s="22">
        <v>52938.354214742925</v>
      </c>
      <c r="HY19" s="154">
        <v>0.15</v>
      </c>
      <c r="HZ19">
        <v>51942.89419889485</v>
      </c>
      <c r="IA19">
        <v>52273.797062974023</v>
      </c>
      <c r="IB19">
        <v>50075.710175553941</v>
      </c>
      <c r="IC19" s="22">
        <v>26024.556140576031</v>
      </c>
      <c r="IE19" s="154">
        <v>0.15</v>
      </c>
      <c r="IF19">
        <v>107673.65406131996</v>
      </c>
      <c r="IG19">
        <v>108880.89654508542</v>
      </c>
      <c r="IH19">
        <v>100829.14439953113</v>
      </c>
      <c r="II19" s="22">
        <v>52049.112281152062</v>
      </c>
      <c r="IK19" s="154">
        <v>0.15</v>
      </c>
      <c r="IL19">
        <v>163404.41392374504</v>
      </c>
      <c r="IM19">
        <v>165487.99602719682</v>
      </c>
      <c r="IN19">
        <v>151582.57862350831</v>
      </c>
      <c r="IO19" s="22">
        <v>78073.668421728085</v>
      </c>
    </row>
    <row r="20" spans="3:249" x14ac:dyDescent="0.2">
      <c r="C20" s="23">
        <v>0.3</v>
      </c>
      <c r="D20" s="125">
        <v>11822.988479827372</v>
      </c>
      <c r="E20" s="125">
        <v>21068.970664262393</v>
      </c>
      <c r="F20" s="125">
        <v>23010.786187367692</v>
      </c>
      <c r="G20" s="22">
        <v>28303.549741055696</v>
      </c>
      <c r="H20" s="137"/>
      <c r="I20" s="23">
        <v>0.3</v>
      </c>
      <c r="J20" s="125">
        <v>26024.556140576031</v>
      </c>
      <c r="K20" s="125">
        <v>49564.144633516553</v>
      </c>
      <c r="L20" s="125">
        <v>51423.0134146989</v>
      </c>
      <c r="M20" s="22">
        <v>51752.505738266533</v>
      </c>
      <c r="O20" s="23">
        <v>0.3</v>
      </c>
      <c r="P20" s="125">
        <v>39036.834210864043</v>
      </c>
      <c r="Q20" s="125">
        <v>74940.861745505157</v>
      </c>
      <c r="R20" s="125">
        <v>79288.393345911434</v>
      </c>
      <c r="S20" s="22">
        <v>80056.05547932224</v>
      </c>
      <c r="U20" s="23">
        <v>0.3</v>
      </c>
      <c r="V20" s="125">
        <v>52049.112281152062</v>
      </c>
      <c r="W20" s="125">
        <v>100317.57885749375</v>
      </c>
      <c r="X20" s="125">
        <v>107153.773277124</v>
      </c>
      <c r="Y20" s="22">
        <v>108359.60522037793</v>
      </c>
      <c r="AA20" s="23">
        <v>0.3</v>
      </c>
      <c r="AB20" s="125">
        <v>65061.390351440074</v>
      </c>
      <c r="AC20" s="125">
        <v>125694.29596948235</v>
      </c>
      <c r="AD20" s="125">
        <v>135019.15320833653</v>
      </c>
      <c r="AE20" s="22">
        <v>136663.15496143364</v>
      </c>
      <c r="AG20" s="23">
        <v>0.3</v>
      </c>
      <c r="AH20" s="125">
        <v>78073.668421728085</v>
      </c>
      <c r="AI20" s="125">
        <v>151071.01308147094</v>
      </c>
      <c r="AJ20" s="125">
        <v>162884.53313954908</v>
      </c>
      <c r="AK20" s="22">
        <v>164966.70470248934</v>
      </c>
      <c r="AM20" s="23">
        <v>0.3</v>
      </c>
      <c r="AN20" s="125">
        <v>91085.946492016097</v>
      </c>
      <c r="AO20" s="125">
        <v>176447.73019345955</v>
      </c>
      <c r="AP20" s="125">
        <v>190749.91307076166</v>
      </c>
      <c r="AQ20" s="22">
        <v>193270.25444354504</v>
      </c>
      <c r="AS20" s="154">
        <v>0.32</v>
      </c>
      <c r="AT20">
        <v>82727.282222222202</v>
      </c>
      <c r="AU20">
        <v>91184.392646399894</v>
      </c>
      <c r="AV20">
        <v>91934.015949998095</v>
      </c>
      <c r="AW20" s="22">
        <v>91517.270413197999</v>
      </c>
      <c r="AY20" s="154">
        <v>0.32</v>
      </c>
      <c r="AZ20">
        <v>165454.564444444</v>
      </c>
      <c r="BA20">
        <v>182704.009126399</v>
      </c>
      <c r="BB20">
        <v>185054.51048350899</v>
      </c>
      <c r="BC20">
        <v>185535.746143422</v>
      </c>
      <c r="BD20" s="22">
        <v>185103.49506982201</v>
      </c>
      <c r="BF20" s="154">
        <v>0.32</v>
      </c>
      <c r="BG20">
        <v>248181.84666666601</v>
      </c>
      <c r="BH20">
        <v>274223.62560639897</v>
      </c>
      <c r="BI20">
        <v>278342.37306623999</v>
      </c>
      <c r="BJ20">
        <v>279137.476336847</v>
      </c>
      <c r="BK20" s="22">
        <v>278689.71972644702</v>
      </c>
      <c r="BM20" s="154">
        <v>0.32</v>
      </c>
      <c r="BN20">
        <v>68210.234433128993</v>
      </c>
      <c r="BO20">
        <v>68224.655339204779</v>
      </c>
      <c r="BP20">
        <v>68136.448171807191</v>
      </c>
      <c r="BQ20" s="22">
        <v>41425.616963437817</v>
      </c>
      <c r="BS20" s="154">
        <v>0.32</v>
      </c>
      <c r="BT20">
        <v>140614.62481100037</v>
      </c>
      <c r="BU20">
        <v>141138.87987094899</v>
      </c>
      <c r="BV20">
        <v>137640.37721750679</v>
      </c>
      <c r="BW20" s="22">
        <v>82851.233926875633</v>
      </c>
      <c r="BY20" s="154">
        <v>0.32</v>
      </c>
      <c r="BZ20">
        <v>213019.01518887174</v>
      </c>
      <c r="CA20">
        <v>214053.10440269322</v>
      </c>
      <c r="CB20">
        <v>207144.30626320641</v>
      </c>
      <c r="CC20" s="22">
        <v>124276.85089031345</v>
      </c>
      <c r="CE20" s="154">
        <v>0.8</v>
      </c>
      <c r="CF20">
        <v>47151.496073235554</v>
      </c>
      <c r="CG20">
        <v>46683.639200231388</v>
      </c>
      <c r="CH20">
        <v>49810.617226700233</v>
      </c>
      <c r="CI20" s="22">
        <v>26024.556140576031</v>
      </c>
      <c r="CK20" s="154">
        <v>0.8</v>
      </c>
      <c r="CL20">
        <v>98087.771615378588</v>
      </c>
      <c r="CM20">
        <v>97650.168893775641</v>
      </c>
      <c r="CN20">
        <v>100564.05145067742</v>
      </c>
      <c r="CO20" s="22">
        <v>52049.112281152062</v>
      </c>
      <c r="CQ20" s="154">
        <v>0.8</v>
      </c>
      <c r="CR20">
        <v>149024.04715752159</v>
      </c>
      <c r="CS20">
        <v>148616.6985873199</v>
      </c>
      <c r="CT20">
        <v>151317.48567465463</v>
      </c>
      <c r="CU20" s="22">
        <v>78073.668421728085</v>
      </c>
      <c r="CW20" s="154">
        <v>0.8</v>
      </c>
      <c r="CX20">
        <v>49757.61722670024</v>
      </c>
      <c r="CY20">
        <v>24307.067367472006</v>
      </c>
      <c r="CZ20">
        <v>49810.617226700233</v>
      </c>
      <c r="DA20" s="22">
        <v>26024.556140576031</v>
      </c>
      <c r="DC20" s="154">
        <v>0.8</v>
      </c>
      <c r="DD20" s="125">
        <v>100511.05145067743</v>
      </c>
      <c r="DE20" s="125">
        <v>50396.196628743899</v>
      </c>
      <c r="DF20" s="125">
        <v>100564.05145067742</v>
      </c>
      <c r="DG20" s="22">
        <v>52049.112281152062</v>
      </c>
      <c r="DI20" s="154">
        <v>0.8</v>
      </c>
      <c r="DJ20">
        <v>151264.48567465466</v>
      </c>
      <c r="DK20">
        <v>76485.325890015796</v>
      </c>
      <c r="DL20">
        <v>151317.48567465463</v>
      </c>
      <c r="DM20" s="22">
        <v>78073.668421728085</v>
      </c>
      <c r="DO20" s="154">
        <v>0.8</v>
      </c>
      <c r="DP20">
        <v>50757.61894958921</v>
      </c>
      <c r="DQ20">
        <v>42880.294388516406</v>
      </c>
      <c r="DR20">
        <v>49810.617226700233</v>
      </c>
      <c r="DS20" s="22">
        <v>26024.556140576031</v>
      </c>
      <c r="DU20" s="154">
        <v>0.8</v>
      </c>
      <c r="DV20">
        <v>105576.5166831728</v>
      </c>
      <c r="DW20">
        <v>90368.772582212609</v>
      </c>
      <c r="DX20">
        <v>100564.05145067742</v>
      </c>
      <c r="DY20" s="22">
        <v>52049.112281152062</v>
      </c>
      <c r="EA20" s="154">
        <v>0.8</v>
      </c>
      <c r="EB20">
        <v>160395.41441675636</v>
      </c>
      <c r="EC20">
        <v>137857.25077590882</v>
      </c>
      <c r="ED20">
        <v>151317.48567465463</v>
      </c>
      <c r="EE20" s="22">
        <v>78073.668421728085</v>
      </c>
      <c r="EG20" s="154">
        <v>0.8</v>
      </c>
      <c r="EH20">
        <v>51701.792113339325</v>
      </c>
      <c r="EI20">
        <v>52036.928659177</v>
      </c>
      <c r="EJ20">
        <v>49810.617226700233</v>
      </c>
      <c r="EK20" s="22">
        <v>26024.556140576031</v>
      </c>
      <c r="EM20" s="154">
        <v>0.8</v>
      </c>
      <c r="EN20">
        <v>107255.32323567149</v>
      </c>
      <c r="EO20">
        <v>108435.52374117904</v>
      </c>
      <c r="EP20">
        <v>100564.05145067742</v>
      </c>
      <c r="EQ20" s="22">
        <v>52049.112281152062</v>
      </c>
      <c r="ES20" s="154">
        <v>0.8</v>
      </c>
      <c r="ET20">
        <v>162808.85435800365</v>
      </c>
      <c r="EU20">
        <v>164834.11882318108</v>
      </c>
      <c r="EV20">
        <v>151317.48567465463</v>
      </c>
      <c r="EW20" s="22">
        <v>78073.668421728085</v>
      </c>
      <c r="EY20" s="154">
        <v>0.8</v>
      </c>
      <c r="EZ20">
        <v>100079.76557739446</v>
      </c>
      <c r="FA20">
        <v>99993.6912020296</v>
      </c>
      <c r="FB20">
        <v>100564.05145067742</v>
      </c>
      <c r="FC20" s="22">
        <v>52049.112281152062</v>
      </c>
      <c r="FE20" s="154">
        <v>0.8</v>
      </c>
      <c r="FF20">
        <v>49178.707446880813</v>
      </c>
      <c r="FG20">
        <v>49068.593757461102</v>
      </c>
      <c r="FH20">
        <v>49810.617226700233</v>
      </c>
      <c r="FI20" s="22">
        <v>26024.556140576031</v>
      </c>
      <c r="FK20" s="154">
        <v>0.8</v>
      </c>
      <c r="FL20">
        <v>150980.8237079081</v>
      </c>
      <c r="FM20">
        <v>150918.78864659811</v>
      </c>
      <c r="FN20">
        <v>151317.48567465463</v>
      </c>
      <c r="FO20" s="22">
        <v>78073.668421728085</v>
      </c>
      <c r="FQ20" s="154">
        <v>0.8</v>
      </c>
      <c r="FR20">
        <v>51645.491078384657</v>
      </c>
      <c r="FS20">
        <v>51970.692147465619</v>
      </c>
      <c r="FT20">
        <v>49810.617226700233</v>
      </c>
      <c r="FU20" s="22">
        <v>26024.556140576031</v>
      </c>
      <c r="FW20" s="154">
        <v>0.8</v>
      </c>
      <c r="FX20">
        <v>107355.56161554821</v>
      </c>
      <c r="FY20">
        <v>108553.45124691636</v>
      </c>
      <c r="FZ20">
        <v>100564.05145067742</v>
      </c>
      <c r="GA20" s="22">
        <v>52049.112281152062</v>
      </c>
      <c r="GC20" s="154">
        <v>0.8</v>
      </c>
      <c r="GD20">
        <v>163065.63215271174</v>
      </c>
      <c r="GE20">
        <v>165136.21034636709</v>
      </c>
      <c r="GF20">
        <v>151317.48567465463</v>
      </c>
      <c r="GG20" s="22">
        <v>78073.668421728085</v>
      </c>
      <c r="GI20" s="154">
        <v>0.8</v>
      </c>
      <c r="GJ20">
        <v>51669.481078430726</v>
      </c>
      <c r="GK20">
        <v>53187.456718291578</v>
      </c>
      <c r="GL20">
        <v>49810.617226700233</v>
      </c>
      <c r="GM20" s="22">
        <v>26024.556140576031</v>
      </c>
      <c r="GO20" s="154">
        <v>0.8</v>
      </c>
      <c r="GP20">
        <v>107400.24094085583</v>
      </c>
      <c r="GQ20">
        <v>110977.41374336857</v>
      </c>
      <c r="GR20">
        <v>100564.05145067742</v>
      </c>
      <c r="GS20" s="22">
        <v>52049.112281152062</v>
      </c>
      <c r="GU20" s="154">
        <v>0.8</v>
      </c>
      <c r="GV20">
        <v>163131.00080328091</v>
      </c>
      <c r="GW20">
        <v>168767.37076844557</v>
      </c>
      <c r="GX20">
        <v>151317.48567465463</v>
      </c>
      <c r="GY20" s="22">
        <v>78073.668421728085</v>
      </c>
      <c r="HA20" s="154">
        <v>85000</v>
      </c>
      <c r="HB20">
        <v>469650.18004661897</v>
      </c>
      <c r="HC20">
        <v>476552.16179276706</v>
      </c>
      <c r="HD20">
        <v>430461.3739065291</v>
      </c>
      <c r="HE20" s="22">
        <v>221208.72719489626</v>
      </c>
      <c r="HG20" s="154">
        <v>0.16</v>
      </c>
      <c r="HH20">
        <v>32065.089426736355</v>
      </c>
      <c r="HI20">
        <v>31976.401043913134</v>
      </c>
      <c r="HJ20">
        <v>32581.451734600301</v>
      </c>
      <c r="HK20" s="22">
        <v>17184.489045283779</v>
      </c>
      <c r="HM20" s="154">
        <v>0.16</v>
      </c>
      <c r="HN20">
        <v>68191.457637467087</v>
      </c>
      <c r="HO20">
        <v>68560.985893006073</v>
      </c>
      <c r="HP20">
        <v>66105.720466477549</v>
      </c>
      <c r="HQ20" s="22">
        <v>34368.978090567558</v>
      </c>
      <c r="HS20" s="154">
        <v>0.16</v>
      </c>
      <c r="HT20">
        <v>104317.82584819783</v>
      </c>
      <c r="HU20">
        <v>105145.57074209902</v>
      </c>
      <c r="HV20">
        <v>99629.9891983548</v>
      </c>
      <c r="HW20" s="22">
        <v>51553.46713585133</v>
      </c>
      <c r="HY20" s="154">
        <v>0.16</v>
      </c>
      <c r="HZ20">
        <v>51959.105325365483</v>
      </c>
      <c r="IA20">
        <v>52289.856619069615</v>
      </c>
      <c r="IB20">
        <v>50092.780200816458</v>
      </c>
      <c r="IC20" s="22">
        <v>26024.556140576031</v>
      </c>
      <c r="IE20" s="154">
        <v>0.16</v>
      </c>
      <c r="IF20">
        <v>107689.86518779059</v>
      </c>
      <c r="IG20">
        <v>108896.95610118101</v>
      </c>
      <c r="IH20">
        <v>100846.21442479364</v>
      </c>
      <c r="II20" s="22">
        <v>52049.112281152062</v>
      </c>
      <c r="IK20" s="154">
        <v>0.16</v>
      </c>
      <c r="IL20">
        <v>163420.62505021566</v>
      </c>
      <c r="IM20">
        <v>165504.05558329241</v>
      </c>
      <c r="IN20">
        <v>151599.64864877085</v>
      </c>
      <c r="IO20" s="22">
        <v>78073.668421728085</v>
      </c>
    </row>
    <row r="21" spans="3:249" x14ac:dyDescent="0.2">
      <c r="C21" s="23">
        <v>0.32</v>
      </c>
      <c r="D21" s="125">
        <v>11822.988479827372</v>
      </c>
      <c r="E21" s="125">
        <v>21068.970664262393</v>
      </c>
      <c r="F21" s="125">
        <v>23010.786187367692</v>
      </c>
      <c r="G21" s="22">
        <v>28303.549741055696</v>
      </c>
      <c r="H21" s="137"/>
      <c r="I21" s="23">
        <v>0.32</v>
      </c>
      <c r="J21" s="125">
        <v>26024.556140576031</v>
      </c>
      <c r="K21" s="125">
        <v>49564.144633516553</v>
      </c>
      <c r="L21" s="125">
        <v>51423.0134146989</v>
      </c>
      <c r="M21" s="22">
        <v>51752.505738266533</v>
      </c>
      <c r="O21" s="23">
        <v>0.32</v>
      </c>
      <c r="P21" s="125">
        <v>39036.834210864043</v>
      </c>
      <c r="Q21" s="125">
        <v>74940.861745505157</v>
      </c>
      <c r="R21" s="125">
        <v>79288.393345911434</v>
      </c>
      <c r="S21" s="22">
        <v>80056.05547932224</v>
      </c>
      <c r="U21" s="23">
        <v>0.32</v>
      </c>
      <c r="V21" s="125">
        <v>52049.112281152062</v>
      </c>
      <c r="W21" s="125">
        <v>100317.57885749375</v>
      </c>
      <c r="X21" s="125">
        <v>107153.773277124</v>
      </c>
      <c r="Y21" s="22">
        <v>108359.60522037793</v>
      </c>
      <c r="AA21" s="23">
        <v>0.32</v>
      </c>
      <c r="AB21" s="125">
        <v>65061.390351440074</v>
      </c>
      <c r="AC21" s="125">
        <v>125694.29596948235</v>
      </c>
      <c r="AD21" s="125">
        <v>135019.15320833653</v>
      </c>
      <c r="AE21" s="22">
        <v>136663.15496143364</v>
      </c>
      <c r="AG21" s="23">
        <v>0.32</v>
      </c>
      <c r="AH21" s="125">
        <v>78073.668421728085</v>
      </c>
      <c r="AI21" s="125">
        <v>151071.01308147094</v>
      </c>
      <c r="AJ21" s="125">
        <v>162884.53313954908</v>
      </c>
      <c r="AK21" s="22">
        <v>164966.70470248934</v>
      </c>
      <c r="AM21" s="23">
        <v>0.32</v>
      </c>
      <c r="AN21" s="125">
        <v>91085.946492016097</v>
      </c>
      <c r="AO21" s="125">
        <v>176447.73019345955</v>
      </c>
      <c r="AP21" s="125">
        <v>190749.91307076166</v>
      </c>
      <c r="AQ21" s="22">
        <v>193270.25444354504</v>
      </c>
      <c r="AS21" s="154">
        <v>0.34</v>
      </c>
      <c r="AT21">
        <v>80772.031111111093</v>
      </c>
      <c r="AU21">
        <v>89757.710936799893</v>
      </c>
      <c r="AV21">
        <v>90557.498196872897</v>
      </c>
      <c r="AW21" s="22">
        <v>90154.568705272904</v>
      </c>
      <c r="AY21" s="154">
        <v>0.34</v>
      </c>
      <c r="AZ21">
        <v>161544.06222222201</v>
      </c>
      <c r="BA21">
        <v>179871.597196799</v>
      </c>
      <c r="BB21">
        <v>182376.777416978</v>
      </c>
      <c r="BC21">
        <v>182883.63027738599</v>
      </c>
      <c r="BD21" s="22">
        <v>182465.65129418601</v>
      </c>
      <c r="BF21" s="154">
        <v>0.34</v>
      </c>
      <c r="BG21">
        <v>242316.093333333</v>
      </c>
      <c r="BH21">
        <v>269985.483456799</v>
      </c>
      <c r="BI21">
        <v>274369.56767525501</v>
      </c>
      <c r="BJ21">
        <v>275209.76235789998</v>
      </c>
      <c r="BK21" s="22">
        <v>274776.73388309998</v>
      </c>
      <c r="BM21" s="154">
        <v>0.34</v>
      </c>
      <c r="BN21">
        <v>67639.863627794562</v>
      </c>
      <c r="BO21">
        <v>67665.147074988476</v>
      </c>
      <c r="BP21">
        <v>67504.522966803503</v>
      </c>
      <c r="BQ21" s="22">
        <v>40894.54590058051</v>
      </c>
      <c r="BS21" s="154">
        <v>0.34</v>
      </c>
      <c r="BT21">
        <v>139469.30122927122</v>
      </c>
      <c r="BU21">
        <v>140017.0569498488</v>
      </c>
      <c r="BV21">
        <v>136361.88322554715</v>
      </c>
      <c r="BW21" s="22">
        <v>81789.091801161019</v>
      </c>
      <c r="BY21" s="154">
        <v>0.34</v>
      </c>
      <c r="BZ21">
        <v>211298.73883074787</v>
      </c>
      <c r="CA21">
        <v>212368.96682470912</v>
      </c>
      <c r="CB21">
        <v>205219.24348429081</v>
      </c>
      <c r="CC21" s="22">
        <v>122683.63770174154</v>
      </c>
      <c r="CE21" s="154">
        <v>0.85</v>
      </c>
      <c r="CF21">
        <v>49757.61722670024</v>
      </c>
      <c r="CG21">
        <v>46351.309796911388</v>
      </c>
      <c r="CH21">
        <v>49810.617226700233</v>
      </c>
      <c r="CI21" s="22">
        <v>26024.556140576031</v>
      </c>
      <c r="CK21" s="154">
        <v>0.85</v>
      </c>
      <c r="CL21">
        <v>100511.05145067743</v>
      </c>
      <c r="CM21">
        <v>96965.171628221855</v>
      </c>
      <c r="CN21">
        <v>100564.05145067742</v>
      </c>
      <c r="CO21" s="22">
        <v>52049.112281152062</v>
      </c>
      <c r="CQ21" s="154">
        <v>0.85</v>
      </c>
      <c r="CR21">
        <v>151264.48567465466</v>
      </c>
      <c r="CS21">
        <v>147579.03345953234</v>
      </c>
      <c r="CT21">
        <v>151317.48567465463</v>
      </c>
      <c r="CU21" s="22">
        <v>78073.668421728085</v>
      </c>
      <c r="CW21" s="154">
        <v>0.85</v>
      </c>
      <c r="CX21">
        <v>49757.61722670024</v>
      </c>
      <c r="CY21">
        <v>22574.16071481496</v>
      </c>
      <c r="CZ21">
        <v>49810.617226700233</v>
      </c>
      <c r="DA21" s="22">
        <v>26024.556140576031</v>
      </c>
      <c r="DC21" s="154">
        <v>0.85</v>
      </c>
      <c r="DD21" s="125">
        <v>100511.05145067743</v>
      </c>
      <c r="DE21" s="125">
        <v>46753.529636860345</v>
      </c>
      <c r="DF21" s="125">
        <v>100564.05145067742</v>
      </c>
      <c r="DG21" s="22">
        <v>52049.112281152062</v>
      </c>
      <c r="DI21" s="154">
        <v>0.85</v>
      </c>
      <c r="DJ21">
        <v>151264.48567465466</v>
      </c>
      <c r="DK21">
        <v>70932.898558905727</v>
      </c>
      <c r="DL21">
        <v>151317.48567465463</v>
      </c>
      <c r="DM21" s="22">
        <v>78073.668421728085</v>
      </c>
      <c r="DO21" s="154">
        <v>0.85</v>
      </c>
      <c r="DP21">
        <v>50700.613315127986</v>
      </c>
      <c r="DQ21">
        <v>42310.238043904305</v>
      </c>
      <c r="DR21">
        <v>49810.617226700233</v>
      </c>
      <c r="DS21" s="22">
        <v>26024.556140576031</v>
      </c>
      <c r="DU21" s="154">
        <v>0.85</v>
      </c>
      <c r="DV21">
        <v>105462.50541425035</v>
      </c>
      <c r="DW21">
        <v>89228.659892988406</v>
      </c>
      <c r="DX21">
        <v>100564.05145067742</v>
      </c>
      <c r="DY21" s="22">
        <v>52049.112281152062</v>
      </c>
      <c r="EA21" s="154">
        <v>0.85</v>
      </c>
      <c r="EB21">
        <v>160224.39751337274</v>
      </c>
      <c r="EC21">
        <v>136147.08174207251</v>
      </c>
      <c r="ED21">
        <v>151317.48567465463</v>
      </c>
      <c r="EE21" s="22">
        <v>78073.668421728085</v>
      </c>
      <c r="EG21" s="154">
        <v>0.85</v>
      </c>
      <c r="EH21">
        <v>51701.792113339325</v>
      </c>
      <c r="EI21">
        <v>52036.928659177</v>
      </c>
      <c r="EJ21">
        <v>49810.617226700233</v>
      </c>
      <c r="EK21" s="22">
        <v>26024.556140576031</v>
      </c>
      <c r="EM21" s="154">
        <v>0.85</v>
      </c>
      <c r="EN21">
        <v>107255.32323567149</v>
      </c>
      <c r="EO21">
        <v>108435.52374117904</v>
      </c>
      <c r="EP21">
        <v>100564.05145067742</v>
      </c>
      <c r="EQ21" s="22">
        <v>52049.112281152062</v>
      </c>
      <c r="ES21" s="154">
        <v>0.85</v>
      </c>
      <c r="ET21">
        <v>162808.85435800365</v>
      </c>
      <c r="EU21">
        <v>164834.11882318108</v>
      </c>
      <c r="EV21">
        <v>151317.48567465463</v>
      </c>
      <c r="EW21" s="22">
        <v>78073.668421728085</v>
      </c>
      <c r="EY21" s="154">
        <v>0.85</v>
      </c>
      <c r="EZ21">
        <v>100079.76557739446</v>
      </c>
      <c r="FA21">
        <v>99993.6912020296</v>
      </c>
      <c r="FB21">
        <v>100564.05145067742</v>
      </c>
      <c r="FC21" s="22">
        <v>52049.112281152062</v>
      </c>
      <c r="FE21" s="154">
        <v>0.85</v>
      </c>
      <c r="FF21">
        <v>49178.707446880813</v>
      </c>
      <c r="FG21">
        <v>49068.593757461102</v>
      </c>
      <c r="FH21">
        <v>49810.617226700233</v>
      </c>
      <c r="FI21" s="22">
        <v>26024.556140576031</v>
      </c>
      <c r="FK21" s="154">
        <v>0.85</v>
      </c>
      <c r="FL21">
        <v>150980.8237079081</v>
      </c>
      <c r="FM21">
        <v>150918.78864659811</v>
      </c>
      <c r="FN21">
        <v>151317.48567465463</v>
      </c>
      <c r="FO21" s="22">
        <v>78073.668421728085</v>
      </c>
      <c r="FQ21" s="154">
        <v>0.85</v>
      </c>
      <c r="FR21">
        <v>51669.481078430726</v>
      </c>
      <c r="FS21">
        <v>51998.915676931589</v>
      </c>
      <c r="FT21">
        <v>49810.617226700233</v>
      </c>
      <c r="FU21" s="22">
        <v>26024.556140576031</v>
      </c>
      <c r="FW21" s="154">
        <v>0.85</v>
      </c>
      <c r="FX21">
        <v>107400.24094085583</v>
      </c>
      <c r="FY21">
        <v>108606.01515904297</v>
      </c>
      <c r="FZ21">
        <v>100564.05145067742</v>
      </c>
      <c r="GA21" s="22">
        <v>52049.112281152062</v>
      </c>
      <c r="GC21" s="154">
        <v>0.85</v>
      </c>
      <c r="GD21">
        <v>163131.00080328091</v>
      </c>
      <c r="GE21">
        <v>165213.11464115439</v>
      </c>
      <c r="GF21">
        <v>151317.48567465463</v>
      </c>
      <c r="GG21" s="22">
        <v>78073.668421728085</v>
      </c>
      <c r="GI21" s="154">
        <v>0.85</v>
      </c>
      <c r="GJ21">
        <v>51669.481078430726</v>
      </c>
      <c r="GK21">
        <v>53781.727238971565</v>
      </c>
      <c r="GL21">
        <v>49810.617226700233</v>
      </c>
      <c r="GM21" s="22">
        <v>26024.556140576031</v>
      </c>
      <c r="GO21" s="154">
        <v>0.85</v>
      </c>
      <c r="GP21">
        <v>107400.24094085583</v>
      </c>
      <c r="GQ21">
        <v>112163.11303553134</v>
      </c>
      <c r="GR21">
        <v>100564.05145067742</v>
      </c>
      <c r="GS21" s="22">
        <v>52049.112281152062</v>
      </c>
      <c r="GU21" s="154">
        <v>0.85</v>
      </c>
      <c r="GV21">
        <v>163131.00080328091</v>
      </c>
      <c r="GW21">
        <v>170544.49883209114</v>
      </c>
      <c r="GX21">
        <v>151317.48567465463</v>
      </c>
      <c r="GY21" s="22">
        <v>78073.668421728085</v>
      </c>
      <c r="HA21" s="154">
        <v>90000</v>
      </c>
      <c r="HB21">
        <v>497515.55997783155</v>
      </c>
      <c r="HC21">
        <v>504855.71153382276</v>
      </c>
      <c r="HD21">
        <v>455838.09101851773</v>
      </c>
      <c r="HE21" s="22">
        <v>234221.00526518427</v>
      </c>
      <c r="HG21" s="154">
        <v>0.17</v>
      </c>
      <c r="HH21">
        <v>31011.505281650643</v>
      </c>
      <c r="HI21">
        <v>30898.171556056641</v>
      </c>
      <c r="HJ21">
        <v>31667.772943521253</v>
      </c>
      <c r="HK21" s="22">
        <v>16749.381659035273</v>
      </c>
      <c r="HM21" s="154">
        <v>0.17</v>
      </c>
      <c r="HN21">
        <v>66084.289347295664</v>
      </c>
      <c r="HO21">
        <v>66404.526917293086</v>
      </c>
      <c r="HP21">
        <v>64278.362884319453</v>
      </c>
      <c r="HQ21" s="22">
        <v>33498.763318070545</v>
      </c>
      <c r="HS21" s="154">
        <v>0.17</v>
      </c>
      <c r="HT21">
        <v>101157.07341294069</v>
      </c>
      <c r="HU21">
        <v>101910.88227852953</v>
      </c>
      <c r="HV21">
        <v>96888.952825117667</v>
      </c>
      <c r="HW21" s="22">
        <v>50248.144977105825</v>
      </c>
      <c r="HY21" s="154">
        <v>0.17</v>
      </c>
      <c r="HZ21">
        <v>51974.473678807248</v>
      </c>
      <c r="IA21">
        <v>52305.050919569971</v>
      </c>
      <c r="IB21">
        <v>50109.134854259559</v>
      </c>
      <c r="IC21" s="22">
        <v>26024.556140576031</v>
      </c>
      <c r="IE21" s="154">
        <v>0.17</v>
      </c>
      <c r="IF21">
        <v>107705.23354123236</v>
      </c>
      <c r="IG21">
        <v>108912.15040168136</v>
      </c>
      <c r="IH21">
        <v>100862.56907823675</v>
      </c>
      <c r="II21" s="22">
        <v>52049.112281152062</v>
      </c>
      <c r="IK21" s="154">
        <v>0.17</v>
      </c>
      <c r="IL21">
        <v>163435.99340365743</v>
      </c>
      <c r="IM21">
        <v>165519.24988379277</v>
      </c>
      <c r="IN21">
        <v>151616.00330221394</v>
      </c>
      <c r="IO21" s="22">
        <v>78073.668421728085</v>
      </c>
    </row>
    <row r="22" spans="3:249" x14ac:dyDescent="0.2">
      <c r="C22" s="23">
        <v>0.34</v>
      </c>
      <c r="D22" s="125">
        <v>11822.988479827372</v>
      </c>
      <c r="E22" s="125">
        <v>21068.970664262393</v>
      </c>
      <c r="F22" s="125">
        <v>23010.786187367692</v>
      </c>
      <c r="G22" s="22">
        <v>28303.549741055696</v>
      </c>
      <c r="H22" s="137"/>
      <c r="I22" s="23">
        <v>0.34</v>
      </c>
      <c r="J22" s="125">
        <v>26024.556140576031</v>
      </c>
      <c r="K22" s="125">
        <v>49564.144633516553</v>
      </c>
      <c r="L22" s="125">
        <v>51423.0134146989</v>
      </c>
      <c r="M22" s="22">
        <v>51752.505738266533</v>
      </c>
      <c r="O22" s="23">
        <v>0.34</v>
      </c>
      <c r="P22" s="125">
        <v>39036.834210864043</v>
      </c>
      <c r="Q22" s="125">
        <v>74940.861745505157</v>
      </c>
      <c r="R22" s="125">
        <v>79288.393345911434</v>
      </c>
      <c r="S22" s="22">
        <v>80056.05547932224</v>
      </c>
      <c r="U22" s="23">
        <v>0.34</v>
      </c>
      <c r="V22" s="125">
        <v>52049.112281152062</v>
      </c>
      <c r="W22" s="125">
        <v>100317.57885749375</v>
      </c>
      <c r="X22" s="125">
        <v>107153.773277124</v>
      </c>
      <c r="Y22" s="22">
        <v>108359.60522037793</v>
      </c>
      <c r="AA22" s="23">
        <v>0.34</v>
      </c>
      <c r="AB22" s="125">
        <v>65061.390351440074</v>
      </c>
      <c r="AC22" s="125">
        <v>125694.29596948235</v>
      </c>
      <c r="AD22" s="125">
        <v>135019.15320833653</v>
      </c>
      <c r="AE22" s="22">
        <v>136663.15496143364</v>
      </c>
      <c r="AG22" s="23">
        <v>0.34</v>
      </c>
      <c r="AH22" s="125">
        <v>78073.668421728085</v>
      </c>
      <c r="AI22" s="125">
        <v>151071.01308147094</v>
      </c>
      <c r="AJ22" s="125">
        <v>162884.53313954908</v>
      </c>
      <c r="AK22" s="22">
        <v>164966.70470248934</v>
      </c>
      <c r="AM22" s="23">
        <v>0.34</v>
      </c>
      <c r="AN22" s="125">
        <v>91085.946492016097</v>
      </c>
      <c r="AO22" s="125">
        <v>176447.73019345955</v>
      </c>
      <c r="AP22" s="125">
        <v>190749.91307076166</v>
      </c>
      <c r="AQ22" s="22">
        <v>193270.25444354504</v>
      </c>
      <c r="AS22" s="154">
        <v>0.36</v>
      </c>
      <c r="AT22">
        <v>78816.78</v>
      </c>
      <c r="AU22">
        <v>88331.029227199993</v>
      </c>
      <c r="AV22">
        <v>89180.980443747801</v>
      </c>
      <c r="AW22" s="22">
        <v>88791.866997347795</v>
      </c>
      <c r="AY22" s="154">
        <v>0.36</v>
      </c>
      <c r="AZ22">
        <v>157633.56</v>
      </c>
      <c r="BA22">
        <v>177039.18526719999</v>
      </c>
      <c r="BB22">
        <v>179699.04435044801</v>
      </c>
      <c r="BC22">
        <v>180231.51441135001</v>
      </c>
      <c r="BD22" s="22">
        <v>179827.80751854999</v>
      </c>
      <c r="BF22" s="154">
        <v>0.36</v>
      </c>
      <c r="BG22">
        <v>236450.34</v>
      </c>
      <c r="BH22">
        <v>265747.34130720003</v>
      </c>
      <c r="BI22">
        <v>270396.76228427002</v>
      </c>
      <c r="BJ22">
        <v>271282.04837895301</v>
      </c>
      <c r="BK22" s="22">
        <v>270863.748039753</v>
      </c>
      <c r="BM22" s="154">
        <v>0.36</v>
      </c>
      <c r="BN22">
        <v>67069.492822460146</v>
      </c>
      <c r="BO22">
        <v>67105.638810772158</v>
      </c>
      <c r="BP22">
        <v>66872.597761799829</v>
      </c>
      <c r="BQ22" s="22">
        <v>40363.47483772321</v>
      </c>
      <c r="BS22" s="154">
        <v>0.36</v>
      </c>
      <c r="BT22">
        <v>138323.97764754214</v>
      </c>
      <c r="BU22">
        <v>138895.23402874859</v>
      </c>
      <c r="BV22">
        <v>135083.38923358754</v>
      </c>
      <c r="BW22" s="22">
        <v>80726.94967544642</v>
      </c>
      <c r="BY22" s="154">
        <v>0.36</v>
      </c>
      <c r="BZ22">
        <v>209578.46247262412</v>
      </c>
      <c r="CA22">
        <v>210684.82924672507</v>
      </c>
      <c r="CB22">
        <v>203294.18070537527</v>
      </c>
      <c r="CC22" s="22">
        <v>121090.42451316964</v>
      </c>
      <c r="CE22" s="154">
        <v>0.9</v>
      </c>
      <c r="CF22">
        <v>49757.61722670024</v>
      </c>
      <c r="CG22">
        <v>46018.980393591381</v>
      </c>
      <c r="CH22">
        <v>49810.617226700233</v>
      </c>
      <c r="CI22" s="22">
        <v>26024.556140576031</v>
      </c>
      <c r="CK22" s="154">
        <v>0.9</v>
      </c>
      <c r="CL22">
        <v>100511.05145067743</v>
      </c>
      <c r="CM22">
        <v>96280.174362668069</v>
      </c>
      <c r="CN22">
        <v>100564.05145067742</v>
      </c>
      <c r="CO22" s="22">
        <v>52049.112281152062</v>
      </c>
      <c r="CQ22" s="154">
        <v>0.9</v>
      </c>
      <c r="CR22">
        <v>151264.48567465466</v>
      </c>
      <c r="CS22">
        <v>146541.36833174474</v>
      </c>
      <c r="CT22">
        <v>151317.48567465463</v>
      </c>
      <c r="CU22" s="22">
        <v>78073.668421728085</v>
      </c>
      <c r="CW22" s="154">
        <v>0.9</v>
      </c>
      <c r="CX22">
        <v>49757.61722670024</v>
      </c>
      <c r="CY22">
        <v>20841.254062157914</v>
      </c>
      <c r="CZ22">
        <v>49810.617226700233</v>
      </c>
      <c r="DA22" s="22">
        <v>26024.556140576031</v>
      </c>
      <c r="DC22" s="154">
        <v>0.9</v>
      </c>
      <c r="DD22" s="125">
        <v>100511.05145067743</v>
      </c>
      <c r="DE22" s="125">
        <v>43110.862644976805</v>
      </c>
      <c r="DF22" s="125">
        <v>100564.05145067742</v>
      </c>
      <c r="DG22" s="22">
        <v>52049.112281152062</v>
      </c>
      <c r="DI22" s="154">
        <v>0.9</v>
      </c>
      <c r="DJ22">
        <v>151264.48567465466</v>
      </c>
      <c r="DK22">
        <v>65380.471227795686</v>
      </c>
      <c r="DL22">
        <v>151317.48567465463</v>
      </c>
      <c r="DM22" s="22">
        <v>78073.668421728085</v>
      </c>
      <c r="DO22" s="154">
        <v>0.9</v>
      </c>
      <c r="DP22">
        <v>50643.607680666777</v>
      </c>
      <c r="DQ22">
        <v>41740.181699292203</v>
      </c>
      <c r="DR22">
        <v>49810.617226700233</v>
      </c>
      <c r="DS22" s="22">
        <v>26024.556140576031</v>
      </c>
      <c r="DU22" s="154">
        <v>0.9</v>
      </c>
      <c r="DV22">
        <v>105348.49414532793</v>
      </c>
      <c r="DW22">
        <v>88088.547203764203</v>
      </c>
      <c r="DX22">
        <v>100564.05145067742</v>
      </c>
      <c r="DY22" s="22">
        <v>52049.112281152062</v>
      </c>
      <c r="EA22" s="154">
        <v>0.9</v>
      </c>
      <c r="EB22">
        <v>160053.38060998911</v>
      </c>
      <c r="EC22">
        <v>134436.9127082362</v>
      </c>
      <c r="ED22">
        <v>151317.48567465463</v>
      </c>
      <c r="EE22" s="22">
        <v>78073.668421728085</v>
      </c>
      <c r="EG22" s="154">
        <v>0.9</v>
      </c>
      <c r="EH22">
        <v>51701.792113339325</v>
      </c>
      <c r="EI22">
        <v>52036.928659177</v>
      </c>
      <c r="EJ22">
        <v>49810.617226700233</v>
      </c>
      <c r="EK22" s="22">
        <v>26024.556140576031</v>
      </c>
      <c r="EM22" s="154">
        <v>0.9</v>
      </c>
      <c r="EN22">
        <v>107255.32323567149</v>
      </c>
      <c r="EO22">
        <v>108435.52374117904</v>
      </c>
      <c r="EP22">
        <v>100564.05145067742</v>
      </c>
      <c r="EQ22" s="22">
        <v>52049.112281152062</v>
      </c>
      <c r="ES22" s="154">
        <v>0.9</v>
      </c>
      <c r="ET22">
        <v>162808.85435800365</v>
      </c>
      <c r="EU22">
        <v>164834.11882318108</v>
      </c>
      <c r="EV22">
        <v>151317.48567465463</v>
      </c>
      <c r="EW22" s="22">
        <v>78073.668421728085</v>
      </c>
      <c r="EY22" s="154">
        <v>0.9</v>
      </c>
      <c r="EZ22">
        <v>100079.76557739446</v>
      </c>
      <c r="FA22">
        <v>99993.6912020296</v>
      </c>
      <c r="FB22">
        <v>100564.05145067742</v>
      </c>
      <c r="FC22" s="22">
        <v>52049.112281152062</v>
      </c>
      <c r="FE22" s="154">
        <v>0.9</v>
      </c>
      <c r="FF22">
        <v>49178.707446880813</v>
      </c>
      <c r="FG22">
        <v>49068.593757461102</v>
      </c>
      <c r="FH22">
        <v>49810.617226700233</v>
      </c>
      <c r="FI22" s="22">
        <v>26024.556140576031</v>
      </c>
      <c r="FK22" s="154">
        <v>0.9</v>
      </c>
      <c r="FL22">
        <v>150980.8237079081</v>
      </c>
      <c r="FM22">
        <v>150918.78864659811</v>
      </c>
      <c r="FN22">
        <v>151317.48567465463</v>
      </c>
      <c r="FO22" s="22">
        <v>78073.668421728085</v>
      </c>
      <c r="FQ22" s="154">
        <v>0.9</v>
      </c>
      <c r="FR22">
        <v>51693.471078476796</v>
      </c>
      <c r="FS22">
        <v>52027.139206397544</v>
      </c>
      <c r="FT22">
        <v>49810.617226700233</v>
      </c>
      <c r="FU22" s="22">
        <v>26024.556140576031</v>
      </c>
      <c r="FW22" s="154">
        <v>0.9</v>
      </c>
      <c r="FX22">
        <v>107444.92026616346</v>
      </c>
      <c r="FY22">
        <v>108658.57907116959</v>
      </c>
      <c r="FZ22">
        <v>100564.05145067742</v>
      </c>
      <c r="GA22" s="22">
        <v>52049.112281152062</v>
      </c>
      <c r="GC22" s="154">
        <v>0.9</v>
      </c>
      <c r="GD22">
        <v>163196.36945385014</v>
      </c>
      <c r="GE22">
        <v>165290.01893594163</v>
      </c>
      <c r="GF22">
        <v>151317.48567465463</v>
      </c>
      <c r="GG22" s="22">
        <v>78073.668421728085</v>
      </c>
      <c r="GI22" s="154">
        <v>0.9</v>
      </c>
      <c r="GJ22">
        <v>51669.481078430726</v>
      </c>
      <c r="GK22">
        <v>54375.997759651567</v>
      </c>
      <c r="GL22">
        <v>49810.617226700233</v>
      </c>
      <c r="GM22" s="22">
        <v>26024.556140576031</v>
      </c>
      <c r="GO22" s="154">
        <v>0.9</v>
      </c>
      <c r="GP22">
        <v>107400.24094085583</v>
      </c>
      <c r="GQ22">
        <v>113348.81232769415</v>
      </c>
      <c r="GR22">
        <v>100564.05145067742</v>
      </c>
      <c r="GS22" s="22">
        <v>52049.112281152062</v>
      </c>
      <c r="GU22" s="154">
        <v>0.9</v>
      </c>
      <c r="GV22">
        <v>163131.00080328091</v>
      </c>
      <c r="GW22">
        <v>172321.62689573673</v>
      </c>
      <c r="GX22">
        <v>151317.48567465463</v>
      </c>
      <c r="GY22" s="22">
        <v>78073.668421728085</v>
      </c>
      <c r="HA22" s="154">
        <v>95000</v>
      </c>
      <c r="HB22">
        <v>525380.93990904407</v>
      </c>
      <c r="HC22">
        <v>533159.26127487852</v>
      </c>
      <c r="HD22">
        <v>481214.80813050631</v>
      </c>
      <c r="HE22" s="22">
        <v>247233.28333547228</v>
      </c>
      <c r="HG22" s="154">
        <v>0.18</v>
      </c>
      <c r="HH22">
        <v>30009.612787184364</v>
      </c>
      <c r="HI22">
        <v>29872.796766554053</v>
      </c>
      <c r="HJ22">
        <v>30799.176807738124</v>
      </c>
      <c r="HK22" s="22">
        <v>16338.549197633243</v>
      </c>
      <c r="HM22" s="154">
        <v>0.18</v>
      </c>
      <c r="HN22">
        <v>64080.504358363105</v>
      </c>
      <c r="HO22">
        <v>64353.777338287917</v>
      </c>
      <c r="HP22">
        <v>62541.170612753194</v>
      </c>
      <c r="HQ22" s="22">
        <v>32677.098395266486</v>
      </c>
      <c r="HS22" s="154">
        <v>0.18</v>
      </c>
      <c r="HT22">
        <v>98151.395929541832</v>
      </c>
      <c r="HU22">
        <v>98834.75791002177</v>
      </c>
      <c r="HV22">
        <v>94283.164417768276</v>
      </c>
      <c r="HW22" s="22">
        <v>49015.647592899732</v>
      </c>
      <c r="HY22" s="154">
        <v>0.18</v>
      </c>
      <c r="HZ22">
        <v>51989.056864450016</v>
      </c>
      <c r="IA22">
        <v>52319.440648048403</v>
      </c>
      <c r="IB22">
        <v>50124.814297166871</v>
      </c>
      <c r="IC22" s="22">
        <v>26024.556140576031</v>
      </c>
      <c r="IE22" s="154">
        <v>0.18</v>
      </c>
      <c r="IF22">
        <v>107719.81672687511</v>
      </c>
      <c r="IG22">
        <v>108926.54013015979</v>
      </c>
      <c r="IH22">
        <v>100878.24852114407</v>
      </c>
      <c r="II22" s="22">
        <v>52049.112281152062</v>
      </c>
      <c r="IK22" s="154">
        <v>0.18</v>
      </c>
      <c r="IL22">
        <v>163450.57658930021</v>
      </c>
      <c r="IM22">
        <v>165533.63961227122</v>
      </c>
      <c r="IN22">
        <v>151631.68274512124</v>
      </c>
      <c r="IO22" s="22">
        <v>78073.668421728085</v>
      </c>
    </row>
    <row r="23" spans="3:249" x14ac:dyDescent="0.2">
      <c r="C23" s="23">
        <v>0.36</v>
      </c>
      <c r="D23" s="125">
        <v>11822.988479827372</v>
      </c>
      <c r="E23" s="125">
        <v>21068.970664262393</v>
      </c>
      <c r="F23" s="125">
        <v>23010.786187367692</v>
      </c>
      <c r="G23" s="22">
        <v>28303.549741055696</v>
      </c>
      <c r="H23" s="137"/>
      <c r="I23" s="23">
        <v>0.36</v>
      </c>
      <c r="J23" s="125">
        <v>26024.556140576031</v>
      </c>
      <c r="K23" s="125">
        <v>49564.144633516553</v>
      </c>
      <c r="L23" s="125">
        <v>51423.0134146989</v>
      </c>
      <c r="M23" s="22">
        <v>51752.505738266533</v>
      </c>
      <c r="O23" s="23">
        <v>0.36</v>
      </c>
      <c r="P23" s="125">
        <v>39036.834210864043</v>
      </c>
      <c r="Q23" s="125">
        <v>74940.861745505157</v>
      </c>
      <c r="R23" s="125">
        <v>79288.393345911434</v>
      </c>
      <c r="S23" s="22">
        <v>80056.05547932224</v>
      </c>
      <c r="U23" s="23">
        <v>0.36</v>
      </c>
      <c r="V23" s="125">
        <v>52049.112281152062</v>
      </c>
      <c r="W23" s="125">
        <v>100317.57885749375</v>
      </c>
      <c r="X23" s="125">
        <v>107153.773277124</v>
      </c>
      <c r="Y23" s="22">
        <v>108359.60522037793</v>
      </c>
      <c r="AA23" s="23">
        <v>0.36</v>
      </c>
      <c r="AB23" s="125">
        <v>65061.390351440074</v>
      </c>
      <c r="AC23" s="125">
        <v>125694.29596948235</v>
      </c>
      <c r="AD23" s="125">
        <v>135019.15320833653</v>
      </c>
      <c r="AE23" s="22">
        <v>136663.15496143364</v>
      </c>
      <c r="AG23" s="23">
        <v>0.36</v>
      </c>
      <c r="AH23" s="125">
        <v>78073.668421728085</v>
      </c>
      <c r="AI23" s="125">
        <v>151071.01308147094</v>
      </c>
      <c r="AJ23" s="125">
        <v>162884.53313954908</v>
      </c>
      <c r="AK23" s="22">
        <v>164966.70470248934</v>
      </c>
      <c r="AM23" s="23">
        <v>0.36</v>
      </c>
      <c r="AN23" s="125">
        <v>91085.946492016097</v>
      </c>
      <c r="AO23" s="125">
        <v>176447.73019345955</v>
      </c>
      <c r="AP23" s="125">
        <v>190749.91307076166</v>
      </c>
      <c r="AQ23" s="22">
        <v>193270.25444354504</v>
      </c>
      <c r="AS23" s="154">
        <v>0.38</v>
      </c>
      <c r="AT23">
        <v>76861.528888888803</v>
      </c>
      <c r="AU23">
        <v>86904.347517599905</v>
      </c>
      <c r="AV23">
        <v>87804.462690622706</v>
      </c>
      <c r="AW23" s="22">
        <v>87429.165289422701</v>
      </c>
      <c r="AY23" s="154">
        <v>0.38</v>
      </c>
      <c r="AZ23">
        <v>153723.05777777699</v>
      </c>
      <c r="BA23">
        <v>174206.77333759901</v>
      </c>
      <c r="BB23">
        <v>177021.31128391699</v>
      </c>
      <c r="BC23">
        <v>177579.398545314</v>
      </c>
      <c r="BD23" s="22">
        <v>177189.963742914</v>
      </c>
      <c r="BF23" s="154">
        <v>0.38</v>
      </c>
      <c r="BG23">
        <v>230584.586666666</v>
      </c>
      <c r="BH23">
        <v>261509.19915759901</v>
      </c>
      <c r="BI23">
        <v>266423.95689328498</v>
      </c>
      <c r="BJ23">
        <v>267354.33440000599</v>
      </c>
      <c r="BK23" s="22">
        <v>266950.76219640602</v>
      </c>
      <c r="BM23" s="154">
        <v>0.38</v>
      </c>
      <c r="BN23">
        <v>66499.122017125716</v>
      </c>
      <c r="BO23">
        <v>66546.130546555825</v>
      </c>
      <c r="BP23">
        <v>66240.67255679614</v>
      </c>
      <c r="BQ23" s="22">
        <v>39832.40377486591</v>
      </c>
      <c r="BS23" s="154">
        <v>0.38</v>
      </c>
      <c r="BT23">
        <v>137178.654065813</v>
      </c>
      <c r="BU23">
        <v>137773.41110764837</v>
      </c>
      <c r="BV23">
        <v>133804.89524162791</v>
      </c>
      <c r="BW23" s="22">
        <v>79664.80754973182</v>
      </c>
      <c r="BY23" s="154">
        <v>0.38</v>
      </c>
      <c r="BZ23">
        <v>207858.18611450025</v>
      </c>
      <c r="CA23">
        <v>209000.69166874091</v>
      </c>
      <c r="CB23">
        <v>201369.11792645967</v>
      </c>
      <c r="CC23" s="22">
        <v>119497.21132459772</v>
      </c>
      <c r="CE23" s="154">
        <v>0.95</v>
      </c>
      <c r="CF23">
        <v>49757.61722670024</v>
      </c>
      <c r="CG23">
        <v>45686.650990271373</v>
      </c>
      <c r="CH23">
        <v>49810.617226700233</v>
      </c>
      <c r="CI23" s="22">
        <v>26024.556140576031</v>
      </c>
      <c r="CK23" s="154">
        <v>0.95</v>
      </c>
      <c r="CL23">
        <v>100511.05145067743</v>
      </c>
      <c r="CM23">
        <v>95595.177097114269</v>
      </c>
      <c r="CN23">
        <v>100564.05145067742</v>
      </c>
      <c r="CO23" s="22">
        <v>52049.112281152062</v>
      </c>
      <c r="CQ23" s="154">
        <v>0.95</v>
      </c>
      <c r="CR23">
        <v>151264.48567465466</v>
      </c>
      <c r="CS23">
        <v>145503.70320395715</v>
      </c>
      <c r="CT23">
        <v>151317.48567465463</v>
      </c>
      <c r="CU23" s="22">
        <v>78073.668421728085</v>
      </c>
      <c r="CW23" s="154">
        <v>0.95</v>
      </c>
      <c r="CX23">
        <v>49757.61722670024</v>
      </c>
      <c r="CY23">
        <v>19108.347409500871</v>
      </c>
      <c r="CZ23">
        <v>49810.617226700233</v>
      </c>
      <c r="DA23" s="22">
        <v>26024.556140576031</v>
      </c>
      <c r="DC23" s="154">
        <v>0.95</v>
      </c>
      <c r="DD23" s="125">
        <v>100511.05145067743</v>
      </c>
      <c r="DE23" s="125">
        <v>39468.195653093258</v>
      </c>
      <c r="DF23" s="125">
        <v>100564.05145067742</v>
      </c>
      <c r="DG23" s="22">
        <v>52049.112281152062</v>
      </c>
      <c r="DI23" s="154">
        <v>0.95</v>
      </c>
      <c r="DJ23">
        <v>151264.48567465466</v>
      </c>
      <c r="DK23">
        <v>59828.043896685645</v>
      </c>
      <c r="DL23">
        <v>151317.48567465463</v>
      </c>
      <c r="DM23" s="22">
        <v>78073.668421728085</v>
      </c>
      <c r="DO23" s="154">
        <v>0.95</v>
      </c>
      <c r="DP23">
        <v>50586.602046205568</v>
      </c>
      <c r="DQ23">
        <v>41170.125354680094</v>
      </c>
      <c r="DR23">
        <v>49810.617226700233</v>
      </c>
      <c r="DS23" s="22">
        <v>26024.556140576031</v>
      </c>
      <c r="DU23" s="154">
        <v>0.95</v>
      </c>
      <c r="DV23">
        <v>105234.48287640551</v>
      </c>
      <c r="DW23">
        <v>86948.434514539986</v>
      </c>
      <c r="DX23">
        <v>100564.05145067742</v>
      </c>
      <c r="DY23" s="22">
        <v>52049.112281152062</v>
      </c>
      <c r="EA23" s="154">
        <v>0.95</v>
      </c>
      <c r="EB23">
        <v>159882.36370660548</v>
      </c>
      <c r="EC23">
        <v>132726.74367439988</v>
      </c>
      <c r="ED23">
        <v>151317.48567465463</v>
      </c>
      <c r="EE23" s="22">
        <v>78073.668421728085</v>
      </c>
      <c r="EG23" s="154">
        <v>0.95</v>
      </c>
      <c r="EH23">
        <v>51701.792113339325</v>
      </c>
      <c r="EI23">
        <v>52036.928659177</v>
      </c>
      <c r="EJ23">
        <v>49810.617226700233</v>
      </c>
      <c r="EK23" s="22">
        <v>26024.556140576031</v>
      </c>
      <c r="EM23" s="154">
        <v>0.95</v>
      </c>
      <c r="EN23">
        <v>107255.32323567149</v>
      </c>
      <c r="EO23">
        <v>108435.52374117904</v>
      </c>
      <c r="EP23">
        <v>100564.05145067742</v>
      </c>
      <c r="EQ23" s="22">
        <v>52049.112281152062</v>
      </c>
      <c r="ES23" s="154">
        <v>0.95</v>
      </c>
      <c r="ET23">
        <v>162808.85435800365</v>
      </c>
      <c r="EU23">
        <v>164834.11882318108</v>
      </c>
      <c r="EV23">
        <v>151317.48567465463</v>
      </c>
      <c r="EW23" s="22">
        <v>78073.668421728085</v>
      </c>
      <c r="EY23" s="154">
        <v>0.95</v>
      </c>
      <c r="EZ23">
        <v>100079.76557739446</v>
      </c>
      <c r="FA23">
        <v>99993.6912020296</v>
      </c>
      <c r="FB23">
        <v>100564.05145067742</v>
      </c>
      <c r="FC23" s="22">
        <v>52049.112281152062</v>
      </c>
      <c r="FE23" s="154">
        <v>0.95</v>
      </c>
      <c r="FF23">
        <v>49178.707446880813</v>
      </c>
      <c r="FG23">
        <v>49068.593757461102</v>
      </c>
      <c r="FH23">
        <v>49810.617226700233</v>
      </c>
      <c r="FI23" s="22">
        <v>26024.556140576031</v>
      </c>
      <c r="FK23" s="154">
        <v>0.95</v>
      </c>
      <c r="FL23">
        <v>150980.8237079081</v>
      </c>
      <c r="FM23">
        <v>150918.78864659811</v>
      </c>
      <c r="FN23">
        <v>151317.48567465463</v>
      </c>
      <c r="FO23" s="22">
        <v>78073.668421728085</v>
      </c>
      <c r="FQ23" s="154">
        <v>0.95</v>
      </c>
      <c r="FR23">
        <v>51717.461078522858</v>
      </c>
      <c r="FS23">
        <v>52055.362735863513</v>
      </c>
      <c r="FT23">
        <v>49810.617226700233</v>
      </c>
      <c r="FU23" s="22">
        <v>26024.556140576031</v>
      </c>
      <c r="FW23" s="154">
        <v>0.95</v>
      </c>
      <c r="FX23">
        <v>107489.59959147108</v>
      </c>
      <c r="FY23">
        <v>108711.14298329622</v>
      </c>
      <c r="FZ23">
        <v>100564.05145067742</v>
      </c>
      <c r="GA23" s="22">
        <v>52049.112281152062</v>
      </c>
      <c r="GC23" s="154">
        <v>0.95</v>
      </c>
      <c r="GD23">
        <v>163261.73810441929</v>
      </c>
      <c r="GE23">
        <v>165366.92323072892</v>
      </c>
      <c r="GF23">
        <v>151317.48567465463</v>
      </c>
      <c r="GG23" s="22">
        <v>78073.668421728085</v>
      </c>
      <c r="GI23" s="154">
        <v>0.95</v>
      </c>
      <c r="GJ23">
        <v>51669.481078430726</v>
      </c>
      <c r="GK23">
        <v>54970.268280331547</v>
      </c>
      <c r="GL23">
        <v>49810.617226700233</v>
      </c>
      <c r="GM23" s="22">
        <v>26024.556140576031</v>
      </c>
      <c r="GO23" s="154">
        <v>0.95</v>
      </c>
      <c r="GP23">
        <v>107400.24094085583</v>
      </c>
      <c r="GQ23">
        <v>114534.51161985692</v>
      </c>
      <c r="GR23">
        <v>100564.05145067742</v>
      </c>
      <c r="GS23" s="22">
        <v>52049.112281152062</v>
      </c>
      <c r="GU23" s="154">
        <v>0.95</v>
      </c>
      <c r="GV23">
        <v>163131.00080328091</v>
      </c>
      <c r="GW23">
        <v>174098.75495938229</v>
      </c>
      <c r="GX23">
        <v>151317.48567465463</v>
      </c>
      <c r="GY23" s="22">
        <v>78073.668421728085</v>
      </c>
      <c r="HA23" s="154">
        <v>100000</v>
      </c>
      <c r="HB23">
        <v>553246.31984025659</v>
      </c>
      <c r="HC23">
        <v>561462.81101593422</v>
      </c>
      <c r="HD23">
        <v>506591.52524249488</v>
      </c>
      <c r="HE23" s="22">
        <v>260245.56140576029</v>
      </c>
      <c r="HG23" s="154">
        <v>0.19</v>
      </c>
      <c r="HH23">
        <v>29055.984667212186</v>
      </c>
      <c r="HI23">
        <v>28896.806399000943</v>
      </c>
      <c r="HJ23">
        <v>29972.481454908895</v>
      </c>
      <c r="HK23" s="22">
        <v>15949.980511436195</v>
      </c>
      <c r="HM23" s="154">
        <v>0.19</v>
      </c>
      <c r="HN23">
        <v>62173.248118418749</v>
      </c>
      <c r="HO23">
        <v>62401.796603181698</v>
      </c>
      <c r="HP23">
        <v>60887.779907094737</v>
      </c>
      <c r="HQ23" s="22">
        <v>31899.96102287239</v>
      </c>
      <c r="HS23" s="154">
        <v>0.19</v>
      </c>
      <c r="HT23">
        <v>95290.511569625305</v>
      </c>
      <c r="HU23">
        <v>95906.786807362441</v>
      </c>
      <c r="HV23">
        <v>91803.078359280582</v>
      </c>
      <c r="HW23" s="22">
        <v>47849.941534308586</v>
      </c>
      <c r="HY23" s="154">
        <v>0.19</v>
      </c>
      <c r="HZ23">
        <v>52002.907768059544</v>
      </c>
      <c r="IA23">
        <v>52333.081427094607</v>
      </c>
      <c r="IB23">
        <v>50139.855906635232</v>
      </c>
      <c r="IC23" s="22">
        <v>26024.556140576031</v>
      </c>
      <c r="IE23" s="154">
        <v>0.19</v>
      </c>
      <c r="IF23">
        <v>107733.66763048465</v>
      </c>
      <c r="IG23">
        <v>108940.180909206</v>
      </c>
      <c r="IH23">
        <v>100893.29013061243</v>
      </c>
      <c r="II23" s="22">
        <v>52049.112281152062</v>
      </c>
      <c r="IK23" s="154">
        <v>0.19</v>
      </c>
      <c r="IL23">
        <v>163464.42749290974</v>
      </c>
      <c r="IM23">
        <v>165547.28039131741</v>
      </c>
      <c r="IN23">
        <v>151646.72435458962</v>
      </c>
      <c r="IO23" s="22">
        <v>78073.668421728085</v>
      </c>
    </row>
    <row r="24" spans="3:249" ht="17" thickBot="1" x14ac:dyDescent="0.25">
      <c r="C24" s="23">
        <v>0.38</v>
      </c>
      <c r="D24" s="125">
        <v>11822.988479827372</v>
      </c>
      <c r="E24" s="125">
        <v>21068.970664262393</v>
      </c>
      <c r="F24" s="125">
        <v>23010.786187367692</v>
      </c>
      <c r="G24" s="22">
        <v>28303.549741055696</v>
      </c>
      <c r="H24" s="137"/>
      <c r="I24" s="23">
        <v>0.38</v>
      </c>
      <c r="J24" s="125">
        <v>26024.556140576031</v>
      </c>
      <c r="K24" s="125">
        <v>49564.144633516553</v>
      </c>
      <c r="L24" s="125">
        <v>51423.0134146989</v>
      </c>
      <c r="M24" s="22">
        <v>51752.505738266533</v>
      </c>
      <c r="O24" s="23">
        <v>0.38</v>
      </c>
      <c r="P24" s="125">
        <v>39036.834210864043</v>
      </c>
      <c r="Q24" s="125">
        <v>74940.861745505157</v>
      </c>
      <c r="R24" s="125">
        <v>79288.393345911434</v>
      </c>
      <c r="S24" s="22">
        <v>80056.05547932224</v>
      </c>
      <c r="U24" s="23">
        <v>0.38</v>
      </c>
      <c r="V24" s="125">
        <v>52049.112281152062</v>
      </c>
      <c r="W24" s="125">
        <v>100317.57885749375</v>
      </c>
      <c r="X24" s="125">
        <v>107153.773277124</v>
      </c>
      <c r="Y24" s="22">
        <v>108359.60522037793</v>
      </c>
      <c r="AA24" s="23">
        <v>0.38</v>
      </c>
      <c r="AB24" s="125">
        <v>65061.390351440074</v>
      </c>
      <c r="AC24" s="125">
        <v>125694.29596948235</v>
      </c>
      <c r="AD24" s="125">
        <v>135019.15320833653</v>
      </c>
      <c r="AE24" s="22">
        <v>136663.15496143364</v>
      </c>
      <c r="AG24" s="23">
        <v>0.38</v>
      </c>
      <c r="AH24" s="125">
        <v>78073.668421728085</v>
      </c>
      <c r="AI24" s="125">
        <v>151071.01308147094</v>
      </c>
      <c r="AJ24" s="125">
        <v>162884.53313954908</v>
      </c>
      <c r="AK24" s="22">
        <v>164966.70470248934</v>
      </c>
      <c r="AM24" s="23">
        <v>0.38</v>
      </c>
      <c r="AN24" s="125">
        <v>91085.946492016097</v>
      </c>
      <c r="AO24" s="125">
        <v>176447.73019345955</v>
      </c>
      <c r="AP24" s="125">
        <v>190749.91307076166</v>
      </c>
      <c r="AQ24" s="22">
        <v>193270.25444354504</v>
      </c>
      <c r="AS24" s="154">
        <v>0.4</v>
      </c>
      <c r="AT24">
        <v>74906.277777777694</v>
      </c>
      <c r="AU24">
        <v>85477.665808000005</v>
      </c>
      <c r="AV24">
        <v>86427.944937497596</v>
      </c>
      <c r="AW24" s="22">
        <v>86066.463581497606</v>
      </c>
      <c r="AY24" s="154">
        <v>0.4</v>
      </c>
      <c r="AZ24">
        <v>149812.55555555501</v>
      </c>
      <c r="BA24">
        <v>171374.361408</v>
      </c>
      <c r="BB24">
        <v>174343.57821738601</v>
      </c>
      <c r="BC24">
        <v>174927.282679278</v>
      </c>
      <c r="BD24" s="22">
        <v>174552.11996727801</v>
      </c>
      <c r="BF24" s="154">
        <v>0.4</v>
      </c>
      <c r="BG24">
        <v>224718.83333333299</v>
      </c>
      <c r="BH24">
        <v>257271.057008</v>
      </c>
      <c r="BI24">
        <v>262451.1515023</v>
      </c>
      <c r="BJ24">
        <v>263426.62042105902</v>
      </c>
      <c r="BK24" s="22">
        <v>263037.77635305899</v>
      </c>
      <c r="BM24" s="154">
        <v>0.4</v>
      </c>
      <c r="BN24">
        <v>65928.751211791299</v>
      </c>
      <c r="BO24">
        <v>65986.622282339522</v>
      </c>
      <c r="BP24">
        <v>65608.747351792437</v>
      </c>
      <c r="BQ24" s="22">
        <v>39301.332712008603</v>
      </c>
      <c r="BS24" s="154">
        <v>0.4</v>
      </c>
      <c r="BT24">
        <v>136033.33048408385</v>
      </c>
      <c r="BU24">
        <v>136651.58818654818</v>
      </c>
      <c r="BV24">
        <v>132526.40124966827</v>
      </c>
      <c r="BW24" s="22">
        <v>78602.665424017207</v>
      </c>
      <c r="BY24" s="154">
        <v>0.4</v>
      </c>
      <c r="BZ24">
        <v>206137.90975637641</v>
      </c>
      <c r="CA24">
        <v>207316.55409075684</v>
      </c>
      <c r="CB24">
        <v>199444.0551475441</v>
      </c>
      <c r="CC24" s="22">
        <v>117903.99813602581</v>
      </c>
      <c r="CE24" s="155">
        <v>1</v>
      </c>
      <c r="CF24" s="31">
        <v>49757.61722670024</v>
      </c>
      <c r="CG24" s="31">
        <v>45354.321586951366</v>
      </c>
      <c r="CH24" s="31">
        <v>49810.617226700233</v>
      </c>
      <c r="CI24" s="29">
        <v>26024.556140576031</v>
      </c>
      <c r="CK24" s="155">
        <v>1</v>
      </c>
      <c r="CL24" s="31">
        <v>100511.05145067743</v>
      </c>
      <c r="CM24" s="31">
        <v>94910.179831560468</v>
      </c>
      <c r="CN24" s="31">
        <v>100564.05145067742</v>
      </c>
      <c r="CO24" s="29">
        <v>52049.112281152062</v>
      </c>
      <c r="CQ24" s="155">
        <v>1</v>
      </c>
      <c r="CR24" s="31">
        <v>151264.48567465466</v>
      </c>
      <c r="CS24" s="31">
        <v>144466.03807616961</v>
      </c>
      <c r="CT24" s="31">
        <v>151317.48567465463</v>
      </c>
      <c r="CU24" s="29">
        <v>78073.668421728085</v>
      </c>
      <c r="CW24" s="155">
        <v>1</v>
      </c>
      <c r="CX24" s="31">
        <v>49757.61722670024</v>
      </c>
      <c r="CY24" s="31">
        <v>17375.440756843822</v>
      </c>
      <c r="CZ24" s="31">
        <v>49810.617226700233</v>
      </c>
      <c r="DA24" s="29">
        <v>26024.556140576031</v>
      </c>
      <c r="DC24" s="155">
        <v>1</v>
      </c>
      <c r="DD24" s="31">
        <v>100511.05145067743</v>
      </c>
      <c r="DE24" s="31">
        <v>35825.528661209704</v>
      </c>
      <c r="DF24" s="31">
        <v>100564.05145067742</v>
      </c>
      <c r="DG24" s="29">
        <v>52049.112281152062</v>
      </c>
      <c r="DI24" s="155">
        <v>1</v>
      </c>
      <c r="DJ24" s="31">
        <v>151264.48567465466</v>
      </c>
      <c r="DK24" s="31">
        <v>54275.61656557559</v>
      </c>
      <c r="DL24" s="31">
        <v>151317.48567465463</v>
      </c>
      <c r="DM24" s="29">
        <v>78073.668421728085</v>
      </c>
      <c r="DO24" s="155">
        <v>1</v>
      </c>
      <c r="DP24" s="31">
        <v>50529.596411744365</v>
      </c>
      <c r="DQ24" s="31">
        <v>40600.069010067993</v>
      </c>
      <c r="DR24" s="31">
        <v>49810.617226700233</v>
      </c>
      <c r="DS24" s="29">
        <v>26024.556140576031</v>
      </c>
      <c r="DU24" s="155">
        <v>1</v>
      </c>
      <c r="DV24" s="31">
        <v>105120.47160748311</v>
      </c>
      <c r="DW24" s="31">
        <v>85808.321825315783</v>
      </c>
      <c r="DX24" s="31">
        <v>100564.05145067742</v>
      </c>
      <c r="DY24" s="29">
        <v>52049.112281152062</v>
      </c>
      <c r="EA24" s="155">
        <v>1</v>
      </c>
      <c r="EB24" s="31">
        <v>159711.34680322185</v>
      </c>
      <c r="EC24" s="31">
        <v>131016.57464056357</v>
      </c>
      <c r="ED24" s="31">
        <v>151317.48567465463</v>
      </c>
      <c r="EE24" s="29">
        <v>78073.668421728085</v>
      </c>
      <c r="EG24" s="155">
        <v>1</v>
      </c>
      <c r="EH24" s="31">
        <v>51701.792113339325</v>
      </c>
      <c r="EI24" s="31">
        <v>52036.928659177</v>
      </c>
      <c r="EJ24" s="31">
        <v>49810.617226700233</v>
      </c>
      <c r="EK24" s="29">
        <v>26024.556140576031</v>
      </c>
      <c r="EM24" s="155">
        <v>1</v>
      </c>
      <c r="EN24" s="31">
        <v>107255.32323567149</v>
      </c>
      <c r="EO24" s="31">
        <v>108435.52374117904</v>
      </c>
      <c r="EP24" s="31">
        <v>100564.05145067742</v>
      </c>
      <c r="EQ24" s="29">
        <v>52049.112281152062</v>
      </c>
      <c r="ES24" s="155">
        <v>1</v>
      </c>
      <c r="ET24" s="31">
        <v>162808.85435800365</v>
      </c>
      <c r="EU24" s="31">
        <v>164834.11882318108</v>
      </c>
      <c r="EV24" s="31">
        <v>151317.48567465463</v>
      </c>
      <c r="EW24" s="29">
        <v>78073.668421728085</v>
      </c>
      <c r="EY24" s="155">
        <v>1</v>
      </c>
      <c r="EZ24" s="31">
        <v>100079.76557739446</v>
      </c>
      <c r="FA24" s="31">
        <v>99993.6912020296</v>
      </c>
      <c r="FB24" s="31">
        <v>100564.05145067742</v>
      </c>
      <c r="FC24" s="29">
        <v>52049.112281152062</v>
      </c>
      <c r="FE24" s="155">
        <v>1</v>
      </c>
      <c r="FF24" s="31">
        <v>49178.707446880813</v>
      </c>
      <c r="FG24" s="31">
        <v>49068.593757461102</v>
      </c>
      <c r="FH24" s="31">
        <v>49810.617226700233</v>
      </c>
      <c r="FI24" s="29">
        <v>26024.556140576031</v>
      </c>
      <c r="FK24" s="155">
        <v>1</v>
      </c>
      <c r="FL24" s="31">
        <v>150980.8237079081</v>
      </c>
      <c r="FM24" s="31">
        <v>150918.78864659811</v>
      </c>
      <c r="FN24" s="31">
        <v>151317.48567465463</v>
      </c>
      <c r="FO24" s="29">
        <v>78073.668421728085</v>
      </c>
      <c r="FQ24" s="155">
        <v>1</v>
      </c>
      <c r="FR24" s="31">
        <v>51741.451078568934</v>
      </c>
      <c r="FS24" s="31">
        <v>52083.586265329475</v>
      </c>
      <c r="FT24" s="31">
        <v>49810.617226700233</v>
      </c>
      <c r="FU24" s="29">
        <v>26024.556140576031</v>
      </c>
      <c r="FW24" s="155">
        <v>1</v>
      </c>
      <c r="FX24" s="31">
        <v>107534.27891677871</v>
      </c>
      <c r="FY24" s="31">
        <v>108763.70689542285</v>
      </c>
      <c r="FZ24" s="31">
        <v>100564.05145067742</v>
      </c>
      <c r="GA24" s="29">
        <v>52049.112281152062</v>
      </c>
      <c r="GC24" s="155">
        <v>1</v>
      </c>
      <c r="GD24" s="31">
        <v>163327.10675498849</v>
      </c>
      <c r="GE24" s="31">
        <v>165443.82752551622</v>
      </c>
      <c r="GF24" s="31">
        <v>151317.48567465463</v>
      </c>
      <c r="GG24" s="29">
        <v>78073.668421728085</v>
      </c>
      <c r="GI24" s="155">
        <v>1</v>
      </c>
      <c r="GJ24" s="31">
        <v>51669.481078430726</v>
      </c>
      <c r="GK24" s="31">
        <v>55564.538801011549</v>
      </c>
      <c r="GL24" s="31">
        <v>49810.617226700233</v>
      </c>
      <c r="GM24" s="29">
        <v>26024.556140576031</v>
      </c>
      <c r="GO24" s="155">
        <v>1</v>
      </c>
      <c r="GP24" s="31">
        <v>107400.24094085583</v>
      </c>
      <c r="GQ24" s="31">
        <v>115720.21091201971</v>
      </c>
      <c r="GR24" s="31">
        <v>100564.05145067742</v>
      </c>
      <c r="GS24" s="29">
        <v>52049.112281152062</v>
      </c>
      <c r="GU24" s="155">
        <v>1</v>
      </c>
      <c r="GV24" s="31">
        <v>163131.00080328091</v>
      </c>
      <c r="GW24" s="31">
        <v>175875.88302302788</v>
      </c>
      <c r="GX24" s="31">
        <v>151317.48567465463</v>
      </c>
      <c r="GY24" s="29">
        <v>78073.668421728085</v>
      </c>
      <c r="HA24" s="155">
        <v>105000</v>
      </c>
      <c r="HB24" s="31">
        <v>581111.69977146923</v>
      </c>
      <c r="HC24" s="31">
        <v>589766.36075698992</v>
      </c>
      <c r="HD24" s="31">
        <v>531968.24235448346</v>
      </c>
      <c r="HE24" s="29">
        <v>273257.83947604831</v>
      </c>
      <c r="HG24" s="155">
        <v>0.2</v>
      </c>
      <c r="HH24" s="31">
        <v>28147.478430203104</v>
      </c>
      <c r="HI24" s="31">
        <v>27967.014397474279</v>
      </c>
      <c r="HJ24" s="31">
        <v>29184.792803397748</v>
      </c>
      <c r="HK24" s="29">
        <v>15581.871746559947</v>
      </c>
      <c r="HM24" s="155">
        <v>0.2</v>
      </c>
      <c r="HN24" s="31">
        <v>60356.235644400585</v>
      </c>
      <c r="HO24" s="31">
        <v>60542.212600128369</v>
      </c>
      <c r="HP24" s="31">
        <v>59312.402604072442</v>
      </c>
      <c r="HQ24" s="29">
        <v>31163.743493119895</v>
      </c>
      <c r="HS24" s="155">
        <v>0.2</v>
      </c>
      <c r="HT24" s="31">
        <v>92564.992858598067</v>
      </c>
      <c r="HU24" s="31">
        <v>93117.410802782455</v>
      </c>
      <c r="HV24" s="31">
        <v>89440.012404747147</v>
      </c>
      <c r="HW24" s="29">
        <v>46745.615239679842</v>
      </c>
      <c r="HY24" s="155">
        <v>0.2</v>
      </c>
      <c r="HZ24" s="31">
        <v>52016.074997693402</v>
      </c>
      <c r="IA24" s="31">
        <v>52346.024297844873</v>
      </c>
      <c r="IB24" s="31">
        <v>50154.294503276149</v>
      </c>
      <c r="IC24" s="29">
        <v>26024.556140576031</v>
      </c>
      <c r="IE24" s="155">
        <v>0.2</v>
      </c>
      <c r="IF24" s="31">
        <v>107746.83486011851</v>
      </c>
      <c r="IG24" s="31">
        <v>108953.12377995627</v>
      </c>
      <c r="IH24" s="31">
        <v>100907.72872725333</v>
      </c>
      <c r="II24" s="29">
        <v>52049.112281152062</v>
      </c>
      <c r="IK24" s="155">
        <v>0.2</v>
      </c>
      <c r="IL24" s="31">
        <v>163477.59472254358</v>
      </c>
      <c r="IM24" s="31">
        <v>165560.22326206768</v>
      </c>
      <c r="IN24" s="31">
        <v>151661.16295123054</v>
      </c>
      <c r="IO24" s="29">
        <v>78073.668421728085</v>
      </c>
    </row>
    <row r="25" spans="3:249" x14ac:dyDescent="0.2">
      <c r="C25" s="23">
        <v>0.4</v>
      </c>
      <c r="D25" s="125">
        <v>11822.988479827372</v>
      </c>
      <c r="E25" s="125">
        <v>21068.970664262393</v>
      </c>
      <c r="F25" s="125">
        <v>23010.786187367692</v>
      </c>
      <c r="G25" s="22">
        <v>28303.549741055696</v>
      </c>
      <c r="H25" s="137"/>
      <c r="I25" s="23">
        <v>0.4</v>
      </c>
      <c r="J25" s="125">
        <v>26024.556140576031</v>
      </c>
      <c r="K25" s="125">
        <v>49564.144633516553</v>
      </c>
      <c r="L25" s="125">
        <v>51423.0134146989</v>
      </c>
      <c r="M25" s="22">
        <v>51752.505738266533</v>
      </c>
      <c r="O25" s="23">
        <v>0.4</v>
      </c>
      <c r="P25" s="125">
        <v>39036.834210864043</v>
      </c>
      <c r="Q25" s="125">
        <v>74940.861745505157</v>
      </c>
      <c r="R25" s="125">
        <v>79288.393345911434</v>
      </c>
      <c r="S25" s="22">
        <v>80056.05547932224</v>
      </c>
      <c r="U25" s="23">
        <v>0.4</v>
      </c>
      <c r="V25" s="125">
        <v>52049.112281152062</v>
      </c>
      <c r="W25" s="125">
        <v>100317.57885749375</v>
      </c>
      <c r="X25" s="125">
        <v>107153.773277124</v>
      </c>
      <c r="Y25" s="22">
        <v>108359.60522037793</v>
      </c>
      <c r="AA25" s="23">
        <v>0.4</v>
      </c>
      <c r="AB25" s="125">
        <v>65061.390351440074</v>
      </c>
      <c r="AC25" s="125">
        <v>125694.29596948235</v>
      </c>
      <c r="AD25" s="125">
        <v>135019.15320833653</v>
      </c>
      <c r="AE25" s="22">
        <v>136663.15496143364</v>
      </c>
      <c r="AG25" s="23">
        <v>0.4</v>
      </c>
      <c r="AH25" s="125">
        <v>78073.668421728085</v>
      </c>
      <c r="AI25" s="125">
        <v>151071.01308147094</v>
      </c>
      <c r="AJ25" s="125">
        <v>162884.53313954908</v>
      </c>
      <c r="AK25" s="22">
        <v>164966.70470248934</v>
      </c>
      <c r="AM25" s="23">
        <v>0.4</v>
      </c>
      <c r="AN25" s="125">
        <v>91085.946492016097</v>
      </c>
      <c r="AO25" s="125">
        <v>176447.73019345955</v>
      </c>
      <c r="AP25" s="125">
        <v>190749.91307076166</v>
      </c>
      <c r="AQ25" s="22">
        <v>193270.25444354504</v>
      </c>
      <c r="AS25" s="154">
        <v>0.42</v>
      </c>
      <c r="AT25">
        <v>72951.026666666599</v>
      </c>
      <c r="AU25">
        <v>84050.984098400004</v>
      </c>
      <c r="AV25">
        <v>85051.4271843725</v>
      </c>
      <c r="AW25" s="22">
        <v>84703.761873572497</v>
      </c>
      <c r="AY25" s="154">
        <v>0.42</v>
      </c>
      <c r="AZ25">
        <v>145902.05333333299</v>
      </c>
      <c r="BA25">
        <v>168541.9494784</v>
      </c>
      <c r="BB25">
        <v>171665.84515085601</v>
      </c>
      <c r="BC25">
        <v>172275.16681324199</v>
      </c>
      <c r="BD25" s="22">
        <v>171914.27619164201</v>
      </c>
      <c r="BF25" s="154">
        <v>0.42</v>
      </c>
      <c r="BG25">
        <v>218853.08</v>
      </c>
      <c r="BH25">
        <v>253032.91485840001</v>
      </c>
      <c r="BI25">
        <v>258478.34611131501</v>
      </c>
      <c r="BJ25">
        <v>259498.906442112</v>
      </c>
      <c r="BK25" s="22">
        <v>259124.79050971201</v>
      </c>
      <c r="BM25" s="154">
        <v>0.42</v>
      </c>
      <c r="BN25">
        <v>65358.38040645689</v>
      </c>
      <c r="BO25">
        <v>65427.114018123219</v>
      </c>
      <c r="BP25">
        <v>64976.822146788763</v>
      </c>
      <c r="BQ25" s="22">
        <v>38770.261649151304</v>
      </c>
      <c r="BS25" s="154">
        <v>0.42</v>
      </c>
      <c r="BT25">
        <v>134888.00690235477</v>
      </c>
      <c r="BU25">
        <v>135529.76526544802</v>
      </c>
      <c r="BV25">
        <v>131247.90725770866</v>
      </c>
      <c r="BW25" s="22">
        <v>77540.523298302607</v>
      </c>
      <c r="BY25" s="154">
        <v>0.42</v>
      </c>
      <c r="BZ25">
        <v>204417.63339825266</v>
      </c>
      <c r="CA25">
        <v>205632.41651277279</v>
      </c>
      <c r="CB25">
        <v>197518.99236862856</v>
      </c>
      <c r="CC25" s="22">
        <v>116310.78494745391</v>
      </c>
      <c r="DC25" s="198"/>
      <c r="DD25" s="198"/>
      <c r="DE25" s="198"/>
      <c r="DF25" s="198"/>
      <c r="DG25" s="198"/>
      <c r="FC25" s="22"/>
    </row>
    <row r="26" spans="3:249" x14ac:dyDescent="0.2">
      <c r="C26" s="23">
        <v>0.42</v>
      </c>
      <c r="D26" s="125">
        <v>11822.988479827372</v>
      </c>
      <c r="E26" s="125">
        <v>21068.970664262393</v>
      </c>
      <c r="F26" s="125">
        <v>23010.786187367692</v>
      </c>
      <c r="G26" s="22">
        <v>28303.549741055696</v>
      </c>
      <c r="H26" s="137"/>
      <c r="I26" s="23">
        <v>0.42</v>
      </c>
      <c r="J26" s="125">
        <v>26024.556140576031</v>
      </c>
      <c r="K26" s="125">
        <v>49564.144633516553</v>
      </c>
      <c r="L26" s="125">
        <v>51423.0134146989</v>
      </c>
      <c r="M26" s="22">
        <v>51752.505738266533</v>
      </c>
      <c r="O26" s="23">
        <v>0.42</v>
      </c>
      <c r="P26" s="125">
        <v>39036.834210864043</v>
      </c>
      <c r="Q26" s="125">
        <v>74940.861745505157</v>
      </c>
      <c r="R26" s="125">
        <v>79288.393345911434</v>
      </c>
      <c r="S26" s="22">
        <v>80056.05547932224</v>
      </c>
      <c r="U26" s="23">
        <v>0.42</v>
      </c>
      <c r="V26" s="125">
        <v>52049.112281152062</v>
      </c>
      <c r="W26" s="125">
        <v>100317.57885749375</v>
      </c>
      <c r="X26" s="125">
        <v>107153.773277124</v>
      </c>
      <c r="Y26" s="22">
        <v>108359.60522037793</v>
      </c>
      <c r="AA26" s="23">
        <v>0.42</v>
      </c>
      <c r="AB26" s="125">
        <v>65061.390351440074</v>
      </c>
      <c r="AC26" s="125">
        <v>125694.29596948235</v>
      </c>
      <c r="AD26" s="125">
        <v>135019.15320833653</v>
      </c>
      <c r="AE26" s="22">
        <v>136663.15496143364</v>
      </c>
      <c r="AG26" s="23">
        <v>0.42</v>
      </c>
      <c r="AH26" s="125">
        <v>78073.668421728085</v>
      </c>
      <c r="AI26" s="125">
        <v>151071.01308147094</v>
      </c>
      <c r="AJ26" s="125">
        <v>162884.53313954908</v>
      </c>
      <c r="AK26" s="22">
        <v>164966.70470248934</v>
      </c>
      <c r="AM26" s="23">
        <v>0.42</v>
      </c>
      <c r="AN26" s="125">
        <v>91085.946492016097</v>
      </c>
      <c r="AO26" s="125">
        <v>176447.73019345955</v>
      </c>
      <c r="AP26" s="125">
        <v>190749.91307076166</v>
      </c>
      <c r="AQ26" s="22">
        <v>193270.25444354504</v>
      </c>
      <c r="AS26" s="154">
        <v>0.44</v>
      </c>
      <c r="AT26">
        <v>70995.775555555505</v>
      </c>
      <c r="AU26">
        <v>82624.302388800003</v>
      </c>
      <c r="AV26">
        <v>83674.909431247303</v>
      </c>
      <c r="AW26" s="22">
        <v>83341.060165647403</v>
      </c>
      <c r="AY26" s="154">
        <v>0.44</v>
      </c>
      <c r="AZ26">
        <v>141991.55111111101</v>
      </c>
      <c r="BA26">
        <v>165709.5375488</v>
      </c>
      <c r="BB26">
        <v>168988.112084325</v>
      </c>
      <c r="BC26">
        <v>169623.05094720601</v>
      </c>
      <c r="BD26" s="22">
        <v>169276.43241600599</v>
      </c>
      <c r="BF26" s="154">
        <v>0.44</v>
      </c>
      <c r="BG26">
        <v>212987.32666666599</v>
      </c>
      <c r="BH26">
        <v>248794.77270880001</v>
      </c>
      <c r="BI26">
        <v>254505.54072033</v>
      </c>
      <c r="BJ26">
        <v>255571.192463165</v>
      </c>
      <c r="BK26" s="22">
        <v>255211.804666365</v>
      </c>
      <c r="BM26" s="154">
        <v>0.44</v>
      </c>
      <c r="BN26">
        <v>64788.009601122467</v>
      </c>
      <c r="BO26">
        <v>64867.605753906893</v>
      </c>
      <c r="BP26">
        <v>64344.896941785075</v>
      </c>
      <c r="BQ26" s="22">
        <v>38239.190586294004</v>
      </c>
      <c r="BS26" s="154">
        <v>0.44</v>
      </c>
      <c r="BT26">
        <v>133742.68332062566</v>
      </c>
      <c r="BU26">
        <v>134407.94234434777</v>
      </c>
      <c r="BV26">
        <v>129969.41326574901</v>
      </c>
      <c r="BW26" s="22">
        <v>76478.381172588008</v>
      </c>
      <c r="BY26" s="154">
        <v>0.44</v>
      </c>
      <c r="BZ26">
        <v>202697.35704012887</v>
      </c>
      <c r="CA26">
        <v>203948.27893478866</v>
      </c>
      <c r="CB26">
        <v>195593.92958971296</v>
      </c>
      <c r="CC26" s="22">
        <v>114717.571758882</v>
      </c>
      <c r="DC26" s="198"/>
      <c r="DD26" s="198"/>
      <c r="DE26" s="198"/>
      <c r="DF26" s="198"/>
      <c r="DG26" s="198"/>
      <c r="FC26" s="22"/>
    </row>
    <row r="27" spans="3:249" x14ac:dyDescent="0.2">
      <c r="C27" s="23">
        <v>0.44</v>
      </c>
      <c r="D27" s="125">
        <v>11822.988479827372</v>
      </c>
      <c r="E27" s="125">
        <v>21068.970664262393</v>
      </c>
      <c r="F27" s="125">
        <v>23010.786187367692</v>
      </c>
      <c r="G27" s="22">
        <v>28303.549741055696</v>
      </c>
      <c r="H27" s="137"/>
      <c r="I27" s="23">
        <v>0.44</v>
      </c>
      <c r="J27" s="125">
        <v>26024.556140576031</v>
      </c>
      <c r="K27" s="125">
        <v>49564.144633516553</v>
      </c>
      <c r="L27" s="125">
        <v>51423.0134146989</v>
      </c>
      <c r="M27" s="22">
        <v>51752.505738266533</v>
      </c>
      <c r="O27" s="23">
        <v>0.44</v>
      </c>
      <c r="P27" s="125">
        <v>39036.834210864043</v>
      </c>
      <c r="Q27" s="125">
        <v>74940.861745505157</v>
      </c>
      <c r="R27" s="125">
        <v>79288.393345911434</v>
      </c>
      <c r="S27" s="22">
        <v>80056.05547932224</v>
      </c>
      <c r="U27" s="23">
        <v>0.44</v>
      </c>
      <c r="V27" s="125">
        <v>52049.112281152062</v>
      </c>
      <c r="W27" s="125">
        <v>100317.57885749375</v>
      </c>
      <c r="X27" s="125">
        <v>107153.773277124</v>
      </c>
      <c r="Y27" s="22">
        <v>108359.60522037793</v>
      </c>
      <c r="AA27" s="23">
        <v>0.44</v>
      </c>
      <c r="AB27" s="125">
        <v>65061.390351440074</v>
      </c>
      <c r="AC27" s="125">
        <v>125694.29596948235</v>
      </c>
      <c r="AD27" s="125">
        <v>135019.15320833653</v>
      </c>
      <c r="AE27" s="22">
        <v>136663.15496143364</v>
      </c>
      <c r="AG27" s="23">
        <v>0.44</v>
      </c>
      <c r="AH27" s="125">
        <v>78073.668421728085</v>
      </c>
      <c r="AI27" s="125">
        <v>151071.01308147094</v>
      </c>
      <c r="AJ27" s="125">
        <v>162884.53313954908</v>
      </c>
      <c r="AK27" s="22">
        <v>164966.70470248934</v>
      </c>
      <c r="AM27" s="23">
        <v>0.44</v>
      </c>
      <c r="AN27" s="125">
        <v>91085.946492016097</v>
      </c>
      <c r="AO27" s="125">
        <v>176447.73019345955</v>
      </c>
      <c r="AP27" s="125">
        <v>190749.91307076166</v>
      </c>
      <c r="AQ27" s="22">
        <v>193270.25444354504</v>
      </c>
      <c r="AS27" s="154">
        <v>0.46</v>
      </c>
      <c r="AT27">
        <v>69040.524444444396</v>
      </c>
      <c r="AU27">
        <v>81197.620679200001</v>
      </c>
      <c r="AV27">
        <v>82298.391678122207</v>
      </c>
      <c r="AW27" s="22">
        <v>81978.358457722206</v>
      </c>
      <c r="AY27" s="154">
        <v>0.46</v>
      </c>
      <c r="AZ27">
        <v>138081.04888888801</v>
      </c>
      <c r="BA27">
        <v>162877.1256192</v>
      </c>
      <c r="BB27">
        <v>166310.37901779401</v>
      </c>
      <c r="BC27">
        <v>166970.93508117</v>
      </c>
      <c r="BD27" s="22">
        <v>166638.58864037</v>
      </c>
      <c r="BF27" s="154">
        <v>0.46</v>
      </c>
      <c r="BG27">
        <v>207121.57333333301</v>
      </c>
      <c r="BH27">
        <v>244556.63055919899</v>
      </c>
      <c r="BI27">
        <v>250532.73532934501</v>
      </c>
      <c r="BJ27">
        <v>251643.47848421801</v>
      </c>
      <c r="BK27" s="22">
        <v>251298.81882301799</v>
      </c>
      <c r="BM27" s="154">
        <v>0.46</v>
      </c>
      <c r="BN27">
        <v>64217.638795788029</v>
      </c>
      <c r="BO27">
        <v>64308.097489690568</v>
      </c>
      <c r="BP27">
        <v>63712.971736781394</v>
      </c>
      <c r="BQ27" s="22">
        <v>37708.119523436697</v>
      </c>
      <c r="BS27" s="154">
        <v>0.46</v>
      </c>
      <c r="BT27">
        <v>132597.35973889651</v>
      </c>
      <c r="BU27">
        <v>133286.11942324755</v>
      </c>
      <c r="BV27">
        <v>128690.91927378939</v>
      </c>
      <c r="BW27" s="22">
        <v>75416.239046873394</v>
      </c>
      <c r="BY27" s="154">
        <v>0.46</v>
      </c>
      <c r="BZ27">
        <v>200977.08068200498</v>
      </c>
      <c r="CA27">
        <v>202264.14135680455</v>
      </c>
      <c r="CB27">
        <v>193668.86681079736</v>
      </c>
      <c r="CC27" s="22">
        <v>113124.3585703101</v>
      </c>
      <c r="DC27" s="198"/>
      <c r="DD27" s="198"/>
      <c r="DE27" s="198"/>
      <c r="DF27" s="198"/>
      <c r="DG27" s="198"/>
      <c r="FC27" s="22"/>
    </row>
    <row r="28" spans="3:249" x14ac:dyDescent="0.2">
      <c r="C28" s="23">
        <v>0.46</v>
      </c>
      <c r="D28" s="125">
        <v>11822.988479827372</v>
      </c>
      <c r="E28" s="125">
        <v>21068.970664262393</v>
      </c>
      <c r="F28" s="125">
        <v>23010.786187367692</v>
      </c>
      <c r="G28" s="22">
        <v>28303.549741055696</v>
      </c>
      <c r="H28" s="137"/>
      <c r="I28" s="23">
        <v>0.46</v>
      </c>
      <c r="J28" s="125">
        <v>26024.556140576031</v>
      </c>
      <c r="K28" s="125">
        <v>49564.144633516553</v>
      </c>
      <c r="L28" s="125">
        <v>51423.0134146989</v>
      </c>
      <c r="M28" s="22">
        <v>51752.505738266533</v>
      </c>
      <c r="O28" s="23">
        <v>0.46</v>
      </c>
      <c r="P28" s="125">
        <v>39036.834210864043</v>
      </c>
      <c r="Q28" s="125">
        <v>74940.861745505157</v>
      </c>
      <c r="R28" s="125">
        <v>79288.393345911434</v>
      </c>
      <c r="S28" s="22">
        <v>80056.05547932224</v>
      </c>
      <c r="U28" s="23">
        <v>0.46</v>
      </c>
      <c r="V28" s="125">
        <v>52049.112281152062</v>
      </c>
      <c r="W28" s="125">
        <v>100317.57885749375</v>
      </c>
      <c r="X28" s="125">
        <v>107153.773277124</v>
      </c>
      <c r="Y28" s="22">
        <v>108359.60522037793</v>
      </c>
      <c r="AA28" s="23">
        <v>0.46</v>
      </c>
      <c r="AB28" s="125">
        <v>65061.390351440074</v>
      </c>
      <c r="AC28" s="125">
        <v>125694.29596948235</v>
      </c>
      <c r="AD28" s="125">
        <v>135019.15320833653</v>
      </c>
      <c r="AE28" s="22">
        <v>136663.15496143364</v>
      </c>
      <c r="AG28" s="23">
        <v>0.46</v>
      </c>
      <c r="AH28" s="125">
        <v>78073.668421728085</v>
      </c>
      <c r="AI28" s="125">
        <v>151071.01308147094</v>
      </c>
      <c r="AJ28" s="125">
        <v>162884.53313954908</v>
      </c>
      <c r="AK28" s="22">
        <v>164966.70470248934</v>
      </c>
      <c r="AM28" s="23">
        <v>0.46</v>
      </c>
      <c r="AN28" s="125">
        <v>91085.946492016097</v>
      </c>
      <c r="AO28" s="125">
        <v>176447.73019345955</v>
      </c>
      <c r="AP28" s="125">
        <v>190749.91307076166</v>
      </c>
      <c r="AQ28" s="22">
        <v>193270.25444354504</v>
      </c>
      <c r="AS28" s="154">
        <v>0.48</v>
      </c>
      <c r="AT28">
        <v>67085.273333333302</v>
      </c>
      <c r="AU28">
        <v>79770.9389696</v>
      </c>
      <c r="AV28">
        <v>80921.873924997097</v>
      </c>
      <c r="AW28" s="22">
        <v>80615.656749797097</v>
      </c>
      <c r="AY28" s="154">
        <v>0.48</v>
      </c>
      <c r="AZ28">
        <v>134170.54666666599</v>
      </c>
      <c r="BA28">
        <v>160044.7136896</v>
      </c>
      <c r="BB28">
        <v>163632.64595126401</v>
      </c>
      <c r="BC28">
        <v>164318.81921513399</v>
      </c>
      <c r="BD28" s="22">
        <v>164000.74486473401</v>
      </c>
      <c r="BF28" s="154">
        <v>0.48</v>
      </c>
      <c r="BG28">
        <v>201255.82</v>
      </c>
      <c r="BH28">
        <v>240318.48840959999</v>
      </c>
      <c r="BI28">
        <v>246559.92993836</v>
      </c>
      <c r="BJ28">
        <v>247715.76450527101</v>
      </c>
      <c r="BK28" s="22">
        <v>247385.83297967099</v>
      </c>
      <c r="BM28" s="154">
        <v>0.48</v>
      </c>
      <c r="BN28">
        <v>63647.267990453613</v>
      </c>
      <c r="BO28">
        <v>63748.589225474258</v>
      </c>
      <c r="BP28">
        <v>63081.046531777698</v>
      </c>
      <c r="BQ28" s="22">
        <v>37177.04846057939</v>
      </c>
      <c r="BS28" s="154">
        <v>0.48</v>
      </c>
      <c r="BT28">
        <v>131452.0361571674</v>
      </c>
      <c r="BU28">
        <v>132164.29650214736</v>
      </c>
      <c r="BV28">
        <v>127412.42528182975</v>
      </c>
      <c r="BW28" s="22">
        <v>74354.09692115878</v>
      </c>
      <c r="BY28" s="154">
        <v>0.48</v>
      </c>
      <c r="BZ28">
        <v>199256.80432388117</v>
      </c>
      <c r="CA28">
        <v>200580.00377882045</v>
      </c>
      <c r="CB28">
        <v>191743.80403188179</v>
      </c>
      <c r="CC28" s="22">
        <v>111531.14538173816</v>
      </c>
      <c r="DC28" s="198"/>
      <c r="DD28" s="198"/>
      <c r="DE28" s="198"/>
      <c r="DF28" s="198"/>
      <c r="DG28" s="198"/>
      <c r="FC28" s="22"/>
    </row>
    <row r="29" spans="3:249" x14ac:dyDescent="0.2">
      <c r="C29" s="23">
        <v>0.48</v>
      </c>
      <c r="D29" s="125">
        <v>11822.988479827372</v>
      </c>
      <c r="E29" s="125">
        <v>21068.970664262393</v>
      </c>
      <c r="F29" s="125">
        <v>23010.786187367692</v>
      </c>
      <c r="G29" s="22">
        <v>28303.549741055696</v>
      </c>
      <c r="H29" s="137"/>
      <c r="I29" s="23">
        <v>0.48</v>
      </c>
      <c r="J29" s="125">
        <v>26024.556140576031</v>
      </c>
      <c r="K29" s="125">
        <v>49564.144633516553</v>
      </c>
      <c r="L29" s="125">
        <v>51423.0134146989</v>
      </c>
      <c r="M29" s="22">
        <v>51752.505738266533</v>
      </c>
      <c r="O29" s="23">
        <v>0.48</v>
      </c>
      <c r="P29" s="125">
        <v>39036.834210864043</v>
      </c>
      <c r="Q29" s="125">
        <v>74940.861745505157</v>
      </c>
      <c r="R29" s="125">
        <v>79288.393345911434</v>
      </c>
      <c r="S29" s="22">
        <v>80056.05547932224</v>
      </c>
      <c r="U29" s="23">
        <v>0.48</v>
      </c>
      <c r="V29" s="125">
        <v>52049.112281152062</v>
      </c>
      <c r="W29" s="125">
        <v>100317.57885749375</v>
      </c>
      <c r="X29" s="125">
        <v>107153.773277124</v>
      </c>
      <c r="Y29" s="22">
        <v>108359.60522037793</v>
      </c>
      <c r="AA29" s="23">
        <v>0.48</v>
      </c>
      <c r="AB29" s="125">
        <v>65061.390351440074</v>
      </c>
      <c r="AC29" s="125">
        <v>125694.29596948235</v>
      </c>
      <c r="AD29" s="125">
        <v>135019.15320833653</v>
      </c>
      <c r="AE29" s="22">
        <v>136663.15496143364</v>
      </c>
      <c r="AG29" s="23">
        <v>0.48</v>
      </c>
      <c r="AH29" s="125">
        <v>78073.668421728085</v>
      </c>
      <c r="AI29" s="125">
        <v>151071.01308147094</v>
      </c>
      <c r="AJ29" s="125">
        <v>162884.53313954908</v>
      </c>
      <c r="AK29" s="22">
        <v>164966.70470248934</v>
      </c>
      <c r="AM29" s="23">
        <v>0.48</v>
      </c>
      <c r="AN29" s="125">
        <v>91085.946492016097</v>
      </c>
      <c r="AO29" s="125">
        <v>176447.73019345955</v>
      </c>
      <c r="AP29" s="125">
        <v>190749.91307076166</v>
      </c>
      <c r="AQ29" s="22">
        <v>193270.25444354504</v>
      </c>
      <c r="AS29" s="154">
        <v>0.5</v>
      </c>
      <c r="AT29">
        <v>65130.0222222222</v>
      </c>
      <c r="AU29">
        <v>78344.257259999897</v>
      </c>
      <c r="AV29">
        <v>79545.356171872001</v>
      </c>
      <c r="AW29" s="22">
        <v>79252.955041872003</v>
      </c>
      <c r="AY29" s="154">
        <v>0.5</v>
      </c>
      <c r="AZ29">
        <v>130260.04444444401</v>
      </c>
      <c r="BA29">
        <v>157212.30175999901</v>
      </c>
      <c r="BB29">
        <v>160954.912884733</v>
      </c>
      <c r="BC29">
        <v>161666.70334909801</v>
      </c>
      <c r="BD29" s="22">
        <v>161362.90108909801</v>
      </c>
      <c r="BF29" s="154">
        <v>0.5</v>
      </c>
      <c r="BG29">
        <v>195390.06666666601</v>
      </c>
      <c r="BH29">
        <v>236080.34625999999</v>
      </c>
      <c r="BI29">
        <v>242587.12454737499</v>
      </c>
      <c r="BJ29">
        <v>243788.05052632399</v>
      </c>
      <c r="BK29" s="22">
        <v>243472.84713632401</v>
      </c>
      <c r="BM29" s="154">
        <v>0.5</v>
      </c>
      <c r="BN29">
        <v>63076.897185119189</v>
      </c>
      <c r="BO29">
        <v>63189.08096125794</v>
      </c>
      <c r="BP29">
        <v>62449.12132677401</v>
      </c>
      <c r="BQ29" s="22">
        <v>36645.97739772209</v>
      </c>
      <c r="BS29" s="154">
        <v>0.5</v>
      </c>
      <c r="BT29">
        <v>130306.71257543827</v>
      </c>
      <c r="BU29">
        <v>131042.47358104716</v>
      </c>
      <c r="BV29">
        <v>126133.93128987012</v>
      </c>
      <c r="BW29" s="22">
        <v>73291.95479544418</v>
      </c>
      <c r="BY29" s="154">
        <v>0.5</v>
      </c>
      <c r="BZ29">
        <v>197536.52796575736</v>
      </c>
      <c r="CA29">
        <v>198895.86620083638</v>
      </c>
      <c r="CB29">
        <v>189818.7412529662</v>
      </c>
      <c r="CC29" s="22">
        <v>109937.93219316629</v>
      </c>
      <c r="DC29" s="198"/>
      <c r="DD29" s="198"/>
      <c r="DE29" s="198"/>
      <c r="DF29" s="198"/>
      <c r="DG29" s="198"/>
      <c r="FC29" s="22"/>
    </row>
    <row r="30" spans="3:249" x14ac:dyDescent="0.2">
      <c r="C30" s="23">
        <v>0.5</v>
      </c>
      <c r="D30" s="125">
        <v>11822.988479827372</v>
      </c>
      <c r="E30" s="125">
        <v>21068.970664262393</v>
      </c>
      <c r="F30" s="125">
        <v>23010.786187367692</v>
      </c>
      <c r="G30" s="22">
        <v>28303.549741055696</v>
      </c>
      <c r="H30" s="137"/>
      <c r="I30" s="23">
        <v>0.5</v>
      </c>
      <c r="J30" s="125">
        <v>26024.556140576031</v>
      </c>
      <c r="K30" s="125">
        <v>49564.144633516553</v>
      </c>
      <c r="L30" s="125">
        <v>51423.0134146989</v>
      </c>
      <c r="M30" s="22">
        <v>51752.505738266533</v>
      </c>
      <c r="O30" s="23">
        <v>0.5</v>
      </c>
      <c r="P30" s="125">
        <v>39036.834210864043</v>
      </c>
      <c r="Q30" s="125">
        <v>74940.861745505157</v>
      </c>
      <c r="R30" s="125">
        <v>79288.393345911434</v>
      </c>
      <c r="S30" s="22">
        <v>80056.05547932224</v>
      </c>
      <c r="U30" s="23">
        <v>0.5</v>
      </c>
      <c r="V30" s="125">
        <v>52049.112281152062</v>
      </c>
      <c r="W30" s="125">
        <v>100317.57885749375</v>
      </c>
      <c r="X30" s="125">
        <v>107153.773277124</v>
      </c>
      <c r="Y30" s="22">
        <v>108359.60522037793</v>
      </c>
      <c r="AA30" s="23">
        <v>0.5</v>
      </c>
      <c r="AB30" s="125">
        <v>65061.390351440074</v>
      </c>
      <c r="AC30" s="125">
        <v>125694.29596948235</v>
      </c>
      <c r="AD30" s="125">
        <v>135019.15320833653</v>
      </c>
      <c r="AE30" s="22">
        <v>136663.15496143364</v>
      </c>
      <c r="AG30" s="23">
        <v>0.5</v>
      </c>
      <c r="AH30" s="125">
        <v>78073.668421728085</v>
      </c>
      <c r="AI30" s="125">
        <v>151071.01308147094</v>
      </c>
      <c r="AJ30" s="125">
        <v>162884.53313954908</v>
      </c>
      <c r="AK30" s="22">
        <v>164966.70470248934</v>
      </c>
      <c r="AM30" s="23">
        <v>0.5</v>
      </c>
      <c r="AN30" s="125">
        <v>91085.946492016097</v>
      </c>
      <c r="AO30" s="125">
        <v>176447.73019345955</v>
      </c>
      <c r="AP30" s="125">
        <v>190749.91307076166</v>
      </c>
      <c r="AQ30" s="22">
        <v>193270.25444354504</v>
      </c>
      <c r="AS30" s="154">
        <v>0.52</v>
      </c>
      <c r="AT30">
        <v>63174.771111111098</v>
      </c>
      <c r="AU30">
        <v>76917.575550399997</v>
      </c>
      <c r="AV30">
        <v>78168.838418746804</v>
      </c>
      <c r="AW30" s="22">
        <v>77890.253333946894</v>
      </c>
      <c r="AY30" s="154">
        <v>0.52</v>
      </c>
      <c r="AZ30">
        <v>126349.54222222199</v>
      </c>
      <c r="BA30">
        <v>154379.88983039901</v>
      </c>
      <c r="BB30">
        <v>158277.17981820201</v>
      </c>
      <c r="BC30">
        <v>159014.587483062</v>
      </c>
      <c r="BD30" s="22">
        <v>158725.05731346199</v>
      </c>
      <c r="BF30" s="154">
        <v>0.52</v>
      </c>
      <c r="BG30">
        <v>189524.313333333</v>
      </c>
      <c r="BH30">
        <v>231842.20411039999</v>
      </c>
      <c r="BI30">
        <v>238614.31915639</v>
      </c>
      <c r="BJ30">
        <v>239860.336547377</v>
      </c>
      <c r="BK30" s="22">
        <v>239559.861292977</v>
      </c>
      <c r="BM30" s="154">
        <v>0.52</v>
      </c>
      <c r="BN30">
        <v>62506.526379784766</v>
      </c>
      <c r="BO30">
        <v>62629.572697041614</v>
      </c>
      <c r="BP30">
        <v>61817.196121770321</v>
      </c>
      <c r="BQ30" s="22">
        <v>36114.906334864791</v>
      </c>
      <c r="BS30" s="154">
        <v>0.52</v>
      </c>
      <c r="BT30">
        <v>129161.38899370916</v>
      </c>
      <c r="BU30">
        <v>129920.65065994693</v>
      </c>
      <c r="BV30">
        <v>124855.43729791047</v>
      </c>
      <c r="BW30" s="22">
        <v>72229.812669729581</v>
      </c>
      <c r="BY30" s="154">
        <v>0.52</v>
      </c>
      <c r="BZ30">
        <v>195816.25160763352</v>
      </c>
      <c r="CA30">
        <v>197211.72862285224</v>
      </c>
      <c r="CB30">
        <v>187893.67847405063</v>
      </c>
      <c r="CC30" s="22">
        <v>108344.71900459437</v>
      </c>
      <c r="DC30" s="198"/>
      <c r="DD30" s="198"/>
      <c r="DE30" s="198"/>
      <c r="DF30" s="198"/>
      <c r="DG30" s="198"/>
      <c r="FC30" s="22"/>
    </row>
    <row r="31" spans="3:249" x14ac:dyDescent="0.2">
      <c r="C31" s="23">
        <v>0.52</v>
      </c>
      <c r="D31" s="125">
        <v>11822.988479827372</v>
      </c>
      <c r="E31" s="125">
        <v>21068.970664262393</v>
      </c>
      <c r="F31" s="125">
        <v>23010.786187367692</v>
      </c>
      <c r="G31" s="22">
        <v>28303.549741055696</v>
      </c>
      <c r="H31" s="137"/>
      <c r="I31" s="23">
        <v>0.52</v>
      </c>
      <c r="J31" s="125">
        <v>26024.556140576031</v>
      </c>
      <c r="K31" s="125">
        <v>49564.144633516553</v>
      </c>
      <c r="L31" s="125">
        <v>51423.0134146989</v>
      </c>
      <c r="M31" s="22">
        <v>51752.505738266533</v>
      </c>
      <c r="O31" s="23">
        <v>0.52</v>
      </c>
      <c r="P31" s="125">
        <v>39036.834210864043</v>
      </c>
      <c r="Q31" s="125">
        <v>74940.861745505157</v>
      </c>
      <c r="R31" s="125">
        <v>79288.393345911434</v>
      </c>
      <c r="S31" s="22">
        <v>80056.05547932224</v>
      </c>
      <c r="U31" s="23">
        <v>0.52</v>
      </c>
      <c r="V31" s="125">
        <v>52049.112281152062</v>
      </c>
      <c r="W31" s="125">
        <v>100317.57885749375</v>
      </c>
      <c r="X31" s="125">
        <v>107153.773277124</v>
      </c>
      <c r="Y31" s="22">
        <v>108359.60522037793</v>
      </c>
      <c r="AA31" s="23">
        <v>0.52</v>
      </c>
      <c r="AB31" s="125">
        <v>65061.390351440074</v>
      </c>
      <c r="AC31" s="125">
        <v>125694.29596948235</v>
      </c>
      <c r="AD31" s="125">
        <v>135019.15320833653</v>
      </c>
      <c r="AE31" s="22">
        <v>136663.15496143364</v>
      </c>
      <c r="AG31" s="23">
        <v>0.52</v>
      </c>
      <c r="AH31" s="125">
        <v>78073.668421728085</v>
      </c>
      <c r="AI31" s="125">
        <v>151071.01308147094</v>
      </c>
      <c r="AJ31" s="125">
        <v>162884.53313954908</v>
      </c>
      <c r="AK31" s="22">
        <v>164966.70470248934</v>
      </c>
      <c r="AM31" s="23">
        <v>0.52</v>
      </c>
      <c r="AN31" s="125">
        <v>91085.946492016097</v>
      </c>
      <c r="AO31" s="125">
        <v>176447.73019345955</v>
      </c>
      <c r="AP31" s="125">
        <v>190749.91307076166</v>
      </c>
      <c r="AQ31" s="22">
        <v>193270.25444354504</v>
      </c>
      <c r="AS31" s="154">
        <v>0.54</v>
      </c>
      <c r="AT31">
        <v>61219.519999999997</v>
      </c>
      <c r="AU31">
        <v>75490.893840799996</v>
      </c>
      <c r="AV31">
        <v>76792.320665621693</v>
      </c>
      <c r="AW31" s="22">
        <v>76527.551626021697</v>
      </c>
      <c r="AY31" s="154">
        <v>0.54</v>
      </c>
      <c r="AZ31">
        <v>122439.03999999999</v>
      </c>
      <c r="BA31">
        <v>151547.47790079899</v>
      </c>
      <c r="BB31">
        <v>155599.44675167199</v>
      </c>
      <c r="BC31">
        <v>156362.47161702599</v>
      </c>
      <c r="BD31" s="22">
        <v>156087.213537826</v>
      </c>
      <c r="BF31" s="154">
        <v>0.54</v>
      </c>
      <c r="BG31">
        <v>183658.56</v>
      </c>
      <c r="BH31">
        <v>227604.0619608</v>
      </c>
      <c r="BI31">
        <v>234641.51376540499</v>
      </c>
      <c r="BJ31">
        <v>235932.62256843</v>
      </c>
      <c r="BK31" s="22">
        <v>235646.87544963</v>
      </c>
      <c r="BM31" s="154">
        <v>0.54</v>
      </c>
      <c r="BN31">
        <v>61936.155574450328</v>
      </c>
      <c r="BO31">
        <v>62070.064432825304</v>
      </c>
      <c r="BP31">
        <v>61185.270916766625</v>
      </c>
      <c r="BQ31" s="22">
        <v>35583.835272007484</v>
      </c>
      <c r="BS31" s="154">
        <v>0.54</v>
      </c>
      <c r="BT31">
        <v>128016.06541198</v>
      </c>
      <c r="BU31">
        <v>128798.82773884672</v>
      </c>
      <c r="BV31">
        <v>123576.94330595083</v>
      </c>
      <c r="BW31" s="22">
        <v>71167.670544014967</v>
      </c>
      <c r="BY31" s="154">
        <v>0.54</v>
      </c>
      <c r="BZ31">
        <v>194095.97524950971</v>
      </c>
      <c r="CA31">
        <v>195527.59104486817</v>
      </c>
      <c r="CB31">
        <v>185968.61569513503</v>
      </c>
      <c r="CC31" s="22">
        <v>106751.50581602244</v>
      </c>
      <c r="DC31" s="198"/>
      <c r="DD31" s="198"/>
      <c r="DE31" s="198"/>
      <c r="DF31" s="198"/>
      <c r="DG31" s="198"/>
      <c r="FC31" s="22"/>
    </row>
    <row r="32" spans="3:249" x14ac:dyDescent="0.2">
      <c r="C32" s="23">
        <v>0.54</v>
      </c>
      <c r="D32" s="125">
        <v>11822.988479827372</v>
      </c>
      <c r="E32" s="125">
        <v>21068.970664262393</v>
      </c>
      <c r="F32" s="125">
        <v>23010.786187367692</v>
      </c>
      <c r="G32" s="22">
        <v>28303.549741055696</v>
      </c>
      <c r="H32" s="137"/>
      <c r="I32" s="23">
        <v>0.54</v>
      </c>
      <c r="J32" s="125">
        <v>26024.556140576031</v>
      </c>
      <c r="K32" s="125">
        <v>49564.144633516553</v>
      </c>
      <c r="L32" s="125">
        <v>51423.0134146989</v>
      </c>
      <c r="M32" s="22">
        <v>51752.505738266533</v>
      </c>
      <c r="O32" s="23">
        <v>0.54</v>
      </c>
      <c r="P32" s="125">
        <v>39036.834210864043</v>
      </c>
      <c r="Q32" s="125">
        <v>74940.861745505157</v>
      </c>
      <c r="R32" s="125">
        <v>79288.393345911434</v>
      </c>
      <c r="S32" s="22">
        <v>80056.05547932224</v>
      </c>
      <c r="U32" s="23">
        <v>0.54</v>
      </c>
      <c r="V32" s="125">
        <v>52049.112281152062</v>
      </c>
      <c r="W32" s="125">
        <v>100317.57885749375</v>
      </c>
      <c r="X32" s="125">
        <v>107153.773277124</v>
      </c>
      <c r="Y32" s="22">
        <v>108359.60522037793</v>
      </c>
      <c r="AA32" s="23">
        <v>0.54</v>
      </c>
      <c r="AB32" s="125">
        <v>65061.390351440074</v>
      </c>
      <c r="AC32" s="125">
        <v>125694.29596948235</v>
      </c>
      <c r="AD32" s="125">
        <v>135019.15320833653</v>
      </c>
      <c r="AE32" s="22">
        <v>136663.15496143364</v>
      </c>
      <c r="AG32" s="23">
        <v>0.54</v>
      </c>
      <c r="AH32" s="125">
        <v>78073.668421728085</v>
      </c>
      <c r="AI32" s="125">
        <v>151071.01308147094</v>
      </c>
      <c r="AJ32" s="125">
        <v>162884.53313954908</v>
      </c>
      <c r="AK32" s="22">
        <v>164966.70470248934</v>
      </c>
      <c r="AM32" s="23">
        <v>0.54</v>
      </c>
      <c r="AN32" s="125">
        <v>91085.946492016097</v>
      </c>
      <c r="AO32" s="125">
        <v>176447.73019345955</v>
      </c>
      <c r="AP32" s="125">
        <v>190749.91307076166</v>
      </c>
      <c r="AQ32" s="22">
        <v>193270.25444354504</v>
      </c>
      <c r="AS32" s="154">
        <v>0.56000000000000005</v>
      </c>
      <c r="AT32">
        <v>59264.268888888801</v>
      </c>
      <c r="AU32">
        <v>74064.212131199994</v>
      </c>
      <c r="AV32">
        <v>75415.802912496598</v>
      </c>
      <c r="AW32" s="22">
        <v>75164.849918096603</v>
      </c>
      <c r="AY32" s="154">
        <v>0.56000000000000005</v>
      </c>
      <c r="AZ32">
        <v>118528.537777777</v>
      </c>
      <c r="BA32">
        <v>148715.06597120001</v>
      </c>
      <c r="BB32">
        <v>152921.713685141</v>
      </c>
      <c r="BC32">
        <v>153710.35575099001</v>
      </c>
      <c r="BD32" s="22">
        <v>153449.36976219001</v>
      </c>
      <c r="BF32" s="154">
        <v>0.56000000000000005</v>
      </c>
      <c r="BG32">
        <v>177792.806666666</v>
      </c>
      <c r="BH32">
        <v>223365.9198112</v>
      </c>
      <c r="BI32">
        <v>230668.70837442001</v>
      </c>
      <c r="BJ32">
        <v>232004.90858948301</v>
      </c>
      <c r="BK32" s="22">
        <v>231733.88960628299</v>
      </c>
      <c r="BM32" s="154">
        <v>0.56000000000000005</v>
      </c>
      <c r="BN32">
        <v>61365.784769115926</v>
      </c>
      <c r="BO32">
        <v>61510.556168608993</v>
      </c>
      <c r="BP32">
        <v>60553.345711762937</v>
      </c>
      <c r="BQ32" s="22">
        <v>35052.764209150177</v>
      </c>
      <c r="BS32" s="154">
        <v>0.56000000000000005</v>
      </c>
      <c r="BT32">
        <v>126870.74183025092</v>
      </c>
      <c r="BU32">
        <v>127677.00481774654</v>
      </c>
      <c r="BV32">
        <v>122298.44931399119</v>
      </c>
      <c r="BW32" s="22">
        <v>70105.528418300353</v>
      </c>
      <c r="BY32" s="154">
        <v>0.56000000000000005</v>
      </c>
      <c r="BZ32">
        <v>192375.69889138589</v>
      </c>
      <c r="CA32">
        <v>193843.45346688406</v>
      </c>
      <c r="CB32">
        <v>184043.55291621946</v>
      </c>
      <c r="CC32" s="22">
        <v>105158.29262745053</v>
      </c>
      <c r="DC32" s="198"/>
      <c r="DD32" s="198"/>
      <c r="DE32" s="198"/>
      <c r="DF32" s="198"/>
      <c r="DG32" s="198"/>
      <c r="FC32" s="22"/>
    </row>
    <row r="33" spans="3:159" x14ac:dyDescent="0.2">
      <c r="C33" s="23">
        <v>0.56000000000000005</v>
      </c>
      <c r="D33" s="125">
        <v>11822.988479827372</v>
      </c>
      <c r="E33" s="125">
        <v>21068.970664262393</v>
      </c>
      <c r="F33" s="125">
        <v>23010.786187367692</v>
      </c>
      <c r="G33" s="22">
        <v>28303.549741055696</v>
      </c>
      <c r="H33" s="137"/>
      <c r="I33" s="23">
        <v>0.56000000000000005</v>
      </c>
      <c r="J33" s="125">
        <v>26024.556140576031</v>
      </c>
      <c r="K33" s="125">
        <v>49564.144633516553</v>
      </c>
      <c r="L33" s="125">
        <v>51423.0134146989</v>
      </c>
      <c r="M33" s="22">
        <v>51752.505738266533</v>
      </c>
      <c r="O33" s="23">
        <v>0.56000000000000005</v>
      </c>
      <c r="P33" s="125">
        <v>39036.834210864043</v>
      </c>
      <c r="Q33" s="125">
        <v>74940.861745505157</v>
      </c>
      <c r="R33" s="125">
        <v>79288.393345911434</v>
      </c>
      <c r="S33" s="22">
        <v>80056.05547932224</v>
      </c>
      <c r="U33" s="23">
        <v>0.56000000000000005</v>
      </c>
      <c r="V33" s="125">
        <v>52049.112281152062</v>
      </c>
      <c r="W33" s="125">
        <v>100317.57885749375</v>
      </c>
      <c r="X33" s="125">
        <v>107153.773277124</v>
      </c>
      <c r="Y33" s="22">
        <v>108359.60522037793</v>
      </c>
      <c r="AA33" s="23">
        <v>0.56000000000000005</v>
      </c>
      <c r="AB33" s="125">
        <v>65061.390351440074</v>
      </c>
      <c r="AC33" s="125">
        <v>125694.29596948235</v>
      </c>
      <c r="AD33" s="125">
        <v>135019.15320833653</v>
      </c>
      <c r="AE33" s="22">
        <v>136663.15496143364</v>
      </c>
      <c r="AG33" s="23">
        <v>0.56000000000000005</v>
      </c>
      <c r="AH33" s="125">
        <v>78073.668421728085</v>
      </c>
      <c r="AI33" s="125">
        <v>151071.01308147094</v>
      </c>
      <c r="AJ33" s="125">
        <v>162884.53313954908</v>
      </c>
      <c r="AK33" s="22">
        <v>164966.70470248934</v>
      </c>
      <c r="AM33" s="23">
        <v>0.56000000000000005</v>
      </c>
      <c r="AN33" s="125">
        <v>91085.946492016097</v>
      </c>
      <c r="AO33" s="125">
        <v>176447.73019345955</v>
      </c>
      <c r="AP33" s="125">
        <v>190749.91307076166</v>
      </c>
      <c r="AQ33" s="22">
        <v>193270.25444354504</v>
      </c>
      <c r="AS33" s="154">
        <v>0.57999999999999996</v>
      </c>
      <c r="AT33">
        <v>57309.017777777699</v>
      </c>
      <c r="AU33">
        <v>72637.530421599993</v>
      </c>
      <c r="AV33">
        <v>74039.285159371502</v>
      </c>
      <c r="AW33" s="22">
        <v>73802.148210171494</v>
      </c>
      <c r="AY33" s="154">
        <v>0.57999999999999996</v>
      </c>
      <c r="AZ33">
        <v>114618.035555555</v>
      </c>
      <c r="BA33">
        <v>145882.65404160001</v>
      </c>
      <c r="BB33">
        <v>150243.98061860999</v>
      </c>
      <c r="BC33">
        <v>151058.23988495301</v>
      </c>
      <c r="BD33" s="22">
        <v>150811.525986553</v>
      </c>
      <c r="BF33" s="154">
        <v>0.57999999999999996</v>
      </c>
      <c r="BG33">
        <v>171927.05333333299</v>
      </c>
      <c r="BH33">
        <v>219127.7776616</v>
      </c>
      <c r="BI33">
        <v>226695.90298343499</v>
      </c>
      <c r="BJ33">
        <v>228077.19461053601</v>
      </c>
      <c r="BK33" s="22">
        <v>227820.90376293601</v>
      </c>
      <c r="BM33" s="154">
        <v>0.57999999999999996</v>
      </c>
      <c r="BN33">
        <v>60795.413963781488</v>
      </c>
      <c r="BO33">
        <v>60951.047904392661</v>
      </c>
      <c r="BP33">
        <v>59921.420506759263</v>
      </c>
      <c r="BQ33" s="22">
        <v>34521.693146292877</v>
      </c>
      <c r="BS33" s="154">
        <v>0.57999999999999996</v>
      </c>
      <c r="BT33">
        <v>125725.41824852178</v>
      </c>
      <c r="BU33">
        <v>126555.1818966463</v>
      </c>
      <c r="BV33">
        <v>121019.95532203159</v>
      </c>
      <c r="BW33" s="22">
        <v>69043.386292585754</v>
      </c>
      <c r="BY33" s="154">
        <v>0.57999999999999996</v>
      </c>
      <c r="BZ33">
        <v>190655.42253326206</v>
      </c>
      <c r="CA33">
        <v>192159.31588889996</v>
      </c>
      <c r="CB33">
        <v>182118.49013730392</v>
      </c>
      <c r="CC33" s="22">
        <v>103565.07943887863</v>
      </c>
      <c r="DC33" s="198"/>
      <c r="DD33" s="198"/>
      <c r="DE33" s="198"/>
      <c r="DF33" s="198"/>
      <c r="DG33" s="198"/>
      <c r="FC33" s="22"/>
    </row>
    <row r="34" spans="3:159" x14ac:dyDescent="0.2">
      <c r="C34" s="23">
        <v>0.57999999999999996</v>
      </c>
      <c r="D34" s="125">
        <v>11822.988479827372</v>
      </c>
      <c r="E34" s="125">
        <v>21068.970664262393</v>
      </c>
      <c r="F34" s="125">
        <v>23010.786187367692</v>
      </c>
      <c r="G34" s="22">
        <v>28303.549741055696</v>
      </c>
      <c r="H34" s="137"/>
      <c r="I34" s="23">
        <v>0.57999999999999996</v>
      </c>
      <c r="J34" s="125">
        <v>26024.556140576031</v>
      </c>
      <c r="K34" s="125">
        <v>49564.144633516553</v>
      </c>
      <c r="L34" s="125">
        <v>51423.0134146989</v>
      </c>
      <c r="M34" s="22">
        <v>51752.505738266533</v>
      </c>
      <c r="O34" s="23">
        <v>0.57999999999999996</v>
      </c>
      <c r="P34" s="125">
        <v>39036.834210864043</v>
      </c>
      <c r="Q34" s="125">
        <v>74940.861745505157</v>
      </c>
      <c r="R34" s="125">
        <v>79288.393345911434</v>
      </c>
      <c r="S34" s="22">
        <v>80056.05547932224</v>
      </c>
      <c r="U34" s="23">
        <v>0.57999999999999996</v>
      </c>
      <c r="V34" s="125">
        <v>52049.112281152062</v>
      </c>
      <c r="W34" s="125">
        <v>100317.57885749375</v>
      </c>
      <c r="X34" s="125">
        <v>107153.773277124</v>
      </c>
      <c r="Y34" s="22">
        <v>108359.60522037793</v>
      </c>
      <c r="AA34" s="23">
        <v>0.57999999999999996</v>
      </c>
      <c r="AB34" s="125">
        <v>65061.390351440074</v>
      </c>
      <c r="AC34" s="125">
        <v>125694.29596948235</v>
      </c>
      <c r="AD34" s="125">
        <v>135019.15320833653</v>
      </c>
      <c r="AE34" s="22">
        <v>136663.15496143364</v>
      </c>
      <c r="AG34" s="23">
        <v>0.57999999999999996</v>
      </c>
      <c r="AH34" s="125">
        <v>78073.668421728085</v>
      </c>
      <c r="AI34" s="125">
        <v>151071.01308147094</v>
      </c>
      <c r="AJ34" s="125">
        <v>162884.53313954908</v>
      </c>
      <c r="AK34" s="22">
        <v>164966.70470248934</v>
      </c>
      <c r="AM34" s="23">
        <v>0.57999999999999996</v>
      </c>
      <c r="AN34" s="125">
        <v>91085.946492016097</v>
      </c>
      <c r="AO34" s="125">
        <v>176447.73019345955</v>
      </c>
      <c r="AP34" s="125">
        <v>190749.91307076166</v>
      </c>
      <c r="AQ34" s="22">
        <v>193270.25444354504</v>
      </c>
      <c r="AS34" s="154">
        <v>0.6</v>
      </c>
      <c r="AT34">
        <v>55353.766666666597</v>
      </c>
      <c r="AU34">
        <v>71210.848712000006</v>
      </c>
      <c r="AV34">
        <v>72662.767406246407</v>
      </c>
      <c r="AW34" s="22">
        <v>72439.446502246399</v>
      </c>
      <c r="AY34" s="154">
        <v>0.6</v>
      </c>
      <c r="AZ34">
        <v>110707.53333333301</v>
      </c>
      <c r="BA34">
        <v>143050.24211200001</v>
      </c>
      <c r="BB34">
        <v>147566.24755207999</v>
      </c>
      <c r="BC34">
        <v>148406.12401891701</v>
      </c>
      <c r="BD34" s="22">
        <v>148173.682210917</v>
      </c>
      <c r="BF34" s="154">
        <v>0.6</v>
      </c>
      <c r="BG34">
        <v>166061.29999999999</v>
      </c>
      <c r="BH34">
        <v>214889.63551200001</v>
      </c>
      <c r="BI34">
        <v>222723.097592451</v>
      </c>
      <c r="BJ34">
        <v>224149.48063158899</v>
      </c>
      <c r="BK34" s="22">
        <v>223907.917919589</v>
      </c>
      <c r="BM34" s="154">
        <v>0.6</v>
      </c>
      <c r="BN34">
        <v>60225.043158447079</v>
      </c>
      <c r="BO34">
        <v>60391.53964017635</v>
      </c>
      <c r="BP34">
        <v>59289.495301755567</v>
      </c>
      <c r="BQ34" s="22">
        <v>33990.62208343557</v>
      </c>
      <c r="BS34" s="154">
        <v>0.6</v>
      </c>
      <c r="BT34">
        <v>124580.09466679268</v>
      </c>
      <c r="BU34">
        <v>125433.35897554611</v>
      </c>
      <c r="BV34">
        <v>119741.46133007195</v>
      </c>
      <c r="BW34" s="22">
        <v>67981.24416687114</v>
      </c>
      <c r="BY34" s="154">
        <v>0.6</v>
      </c>
      <c r="BZ34">
        <v>188935.1461751383</v>
      </c>
      <c r="CA34">
        <v>190475.17831091589</v>
      </c>
      <c r="CB34">
        <v>180193.42735838832</v>
      </c>
      <c r="CC34" s="22">
        <v>101971.86625030672</v>
      </c>
      <c r="DC34" s="198"/>
      <c r="DD34" s="198"/>
      <c r="DE34" s="198"/>
      <c r="DF34" s="198"/>
      <c r="DG34" s="198"/>
      <c r="FC34" s="22"/>
    </row>
    <row r="35" spans="3:159" x14ac:dyDescent="0.2">
      <c r="C35" s="23">
        <v>0.6</v>
      </c>
      <c r="D35" s="125">
        <v>11822.988479827372</v>
      </c>
      <c r="E35" s="125">
        <v>21068.970664262393</v>
      </c>
      <c r="F35" s="125">
        <v>23010.786187367692</v>
      </c>
      <c r="G35" s="22">
        <v>28303.549741055696</v>
      </c>
      <c r="H35" s="137"/>
      <c r="I35" s="23">
        <v>0.6</v>
      </c>
      <c r="J35" s="125">
        <v>26024.556140576031</v>
      </c>
      <c r="K35" s="125">
        <v>49564.144633516553</v>
      </c>
      <c r="L35" s="125">
        <v>51423.0134146989</v>
      </c>
      <c r="M35" s="22">
        <v>51752.505738266533</v>
      </c>
      <c r="O35" s="23">
        <v>0.6</v>
      </c>
      <c r="P35" s="125">
        <v>39036.834210864043</v>
      </c>
      <c r="Q35" s="125">
        <v>74940.861745505157</v>
      </c>
      <c r="R35" s="125">
        <v>79288.393345911434</v>
      </c>
      <c r="S35" s="22">
        <v>80056.05547932224</v>
      </c>
      <c r="U35" s="23">
        <v>0.6</v>
      </c>
      <c r="V35" s="125">
        <v>52049.112281152062</v>
      </c>
      <c r="W35" s="125">
        <v>100317.57885749375</v>
      </c>
      <c r="X35" s="125">
        <v>107153.773277124</v>
      </c>
      <c r="Y35" s="22">
        <v>108359.60522037793</v>
      </c>
      <c r="AA35" s="23">
        <v>0.6</v>
      </c>
      <c r="AB35" s="125">
        <v>65061.390351440074</v>
      </c>
      <c r="AC35" s="125">
        <v>125694.29596948235</v>
      </c>
      <c r="AD35" s="125">
        <v>135019.15320833653</v>
      </c>
      <c r="AE35" s="22">
        <v>136663.15496143364</v>
      </c>
      <c r="AG35" s="23">
        <v>0.6</v>
      </c>
      <c r="AH35" s="125">
        <v>78073.668421728085</v>
      </c>
      <c r="AI35" s="125">
        <v>151071.01308147094</v>
      </c>
      <c r="AJ35" s="125">
        <v>162884.53313954908</v>
      </c>
      <c r="AK35" s="22">
        <v>164966.70470248934</v>
      </c>
      <c r="AM35" s="23">
        <v>0.6</v>
      </c>
      <c r="AN35" s="125">
        <v>91085.946492016097</v>
      </c>
      <c r="AO35" s="125">
        <v>176447.73019345955</v>
      </c>
      <c r="AP35" s="125">
        <v>190749.91307076166</v>
      </c>
      <c r="AQ35" s="22">
        <v>193270.25444354504</v>
      </c>
      <c r="AS35" s="154">
        <v>0.62</v>
      </c>
      <c r="AT35">
        <v>53398.515555555503</v>
      </c>
      <c r="AU35">
        <v>69784.167002400005</v>
      </c>
      <c r="AV35">
        <v>71286.249653121296</v>
      </c>
      <c r="AW35" s="22">
        <v>71076.744794321305</v>
      </c>
      <c r="AY35" s="154">
        <v>0.62</v>
      </c>
      <c r="AZ35">
        <v>106797.03111111101</v>
      </c>
      <c r="BA35">
        <v>140217.83018240001</v>
      </c>
      <c r="BB35">
        <v>144888.51448554901</v>
      </c>
      <c r="BC35">
        <v>145754.008152881</v>
      </c>
      <c r="BD35" s="22">
        <v>145535.83843528101</v>
      </c>
      <c r="BF35" s="154">
        <v>0.62</v>
      </c>
      <c r="BG35">
        <v>160195.54666666599</v>
      </c>
      <c r="BH35">
        <v>210651.49336240001</v>
      </c>
      <c r="BI35">
        <v>218750.29220146601</v>
      </c>
      <c r="BJ35">
        <v>220221.76665264199</v>
      </c>
      <c r="BK35" s="22">
        <v>219994.932076242</v>
      </c>
      <c r="BM35" s="154">
        <v>0.62</v>
      </c>
      <c r="BN35">
        <v>59654.672353112655</v>
      </c>
      <c r="BO35">
        <v>59832.031375960032</v>
      </c>
      <c r="BP35">
        <v>58657.570096751879</v>
      </c>
      <c r="BQ35" s="22">
        <v>33459.55102057827</v>
      </c>
      <c r="BS35" s="154">
        <v>0.62</v>
      </c>
      <c r="BT35">
        <v>123434.77108506355</v>
      </c>
      <c r="BU35">
        <v>124311.5360544459</v>
      </c>
      <c r="BV35">
        <v>118462.96733811231</v>
      </c>
      <c r="BW35" s="22">
        <v>66919.102041156541</v>
      </c>
      <c r="BY35" s="154">
        <v>0.62</v>
      </c>
      <c r="BZ35">
        <v>187214.86981701443</v>
      </c>
      <c r="CA35">
        <v>188791.04073293172</v>
      </c>
      <c r="CB35">
        <v>178268.36457947275</v>
      </c>
      <c r="CC35" s="22">
        <v>100378.65306173482</v>
      </c>
      <c r="DC35" s="198"/>
      <c r="DD35" s="198"/>
      <c r="DE35" s="198"/>
      <c r="DF35" s="198"/>
      <c r="DG35" s="198"/>
      <c r="FC35" s="22"/>
    </row>
    <row r="36" spans="3:159" x14ac:dyDescent="0.2">
      <c r="C36" s="23">
        <v>0.62</v>
      </c>
      <c r="D36" s="125">
        <v>11822.988479827372</v>
      </c>
      <c r="E36" s="125">
        <v>21068.970664262393</v>
      </c>
      <c r="F36" s="125">
        <v>23010.786187367692</v>
      </c>
      <c r="G36" s="22">
        <v>28303.549741055696</v>
      </c>
      <c r="H36" s="137"/>
      <c r="I36" s="23">
        <v>0.62</v>
      </c>
      <c r="J36" s="125">
        <v>26024.556140576031</v>
      </c>
      <c r="K36" s="125">
        <v>49564.144633516553</v>
      </c>
      <c r="L36" s="125">
        <v>51423.0134146989</v>
      </c>
      <c r="M36" s="22">
        <v>51752.505738266533</v>
      </c>
      <c r="O36" s="23">
        <v>0.62</v>
      </c>
      <c r="P36" s="125">
        <v>39036.834210864043</v>
      </c>
      <c r="Q36" s="125">
        <v>74940.861745505157</v>
      </c>
      <c r="R36" s="125">
        <v>79288.393345911434</v>
      </c>
      <c r="S36" s="22">
        <v>80056.05547932224</v>
      </c>
      <c r="U36" s="23">
        <v>0.62</v>
      </c>
      <c r="V36" s="125">
        <v>52049.112281152062</v>
      </c>
      <c r="W36" s="125">
        <v>100317.57885749375</v>
      </c>
      <c r="X36" s="125">
        <v>107153.773277124</v>
      </c>
      <c r="Y36" s="22">
        <v>108359.60522037793</v>
      </c>
      <c r="AA36" s="23">
        <v>0.62</v>
      </c>
      <c r="AB36" s="125">
        <v>65061.390351440074</v>
      </c>
      <c r="AC36" s="125">
        <v>125694.29596948235</v>
      </c>
      <c r="AD36" s="125">
        <v>135019.15320833653</v>
      </c>
      <c r="AE36" s="22">
        <v>136663.15496143364</v>
      </c>
      <c r="AG36" s="23">
        <v>0.62</v>
      </c>
      <c r="AH36" s="125">
        <v>78073.668421728085</v>
      </c>
      <c r="AI36" s="125">
        <v>151071.01308147094</v>
      </c>
      <c r="AJ36" s="125">
        <v>162884.53313954908</v>
      </c>
      <c r="AK36" s="22">
        <v>164966.70470248934</v>
      </c>
      <c r="AM36" s="23">
        <v>0.62</v>
      </c>
      <c r="AN36" s="125">
        <v>91085.946492016097</v>
      </c>
      <c r="AO36" s="125">
        <v>176447.73019345955</v>
      </c>
      <c r="AP36" s="125">
        <v>190749.91307076166</v>
      </c>
      <c r="AQ36" s="22">
        <v>193270.25444354504</v>
      </c>
      <c r="AS36" s="154">
        <v>0.64</v>
      </c>
      <c r="AT36">
        <v>51443.264444444401</v>
      </c>
      <c r="AU36">
        <v>68357.485292799902</v>
      </c>
      <c r="AV36">
        <v>69909.731899996099</v>
      </c>
      <c r="AW36" s="22">
        <v>69714.043086396196</v>
      </c>
      <c r="AY36" s="154">
        <v>0.64</v>
      </c>
      <c r="AZ36">
        <v>102886.528888888</v>
      </c>
      <c r="BA36">
        <v>137385.41825279899</v>
      </c>
      <c r="BB36">
        <v>142210.78141901799</v>
      </c>
      <c r="BC36">
        <v>143101.89228684499</v>
      </c>
      <c r="BD36" s="22">
        <v>142897.99465964499</v>
      </c>
      <c r="BF36" s="154">
        <v>0.64</v>
      </c>
      <c r="BG36">
        <v>154329.79333333299</v>
      </c>
      <c r="BH36">
        <v>206413.35121279999</v>
      </c>
      <c r="BI36">
        <v>214777.486810481</v>
      </c>
      <c r="BJ36">
        <v>216294.052673695</v>
      </c>
      <c r="BK36" s="22">
        <v>216081.94623289499</v>
      </c>
      <c r="BM36" s="154">
        <v>0.64</v>
      </c>
      <c r="BN36">
        <v>59084.301547778225</v>
      </c>
      <c r="BO36">
        <v>59272.523111743729</v>
      </c>
      <c r="BP36">
        <v>58025.64489174819</v>
      </c>
      <c r="BQ36" s="22">
        <v>32928.479957720971</v>
      </c>
      <c r="BS36" s="154">
        <v>0.64</v>
      </c>
      <c r="BT36">
        <v>122289.44750333441</v>
      </c>
      <c r="BU36">
        <v>123189.71313334571</v>
      </c>
      <c r="BV36">
        <v>117184.47334615266</v>
      </c>
      <c r="BW36" s="22">
        <v>65856.959915441941</v>
      </c>
      <c r="BY36" s="154">
        <v>0.64</v>
      </c>
      <c r="BZ36">
        <v>185494.59345889059</v>
      </c>
      <c r="CA36">
        <v>187106.90315494768</v>
      </c>
      <c r="CB36">
        <v>176343.30180055715</v>
      </c>
      <c r="CC36" s="22">
        <v>98785.439873162904</v>
      </c>
      <c r="DC36" s="198"/>
      <c r="DD36" s="198"/>
      <c r="DE36" s="198"/>
      <c r="DF36" s="198"/>
      <c r="DG36" s="198"/>
      <c r="FC36" s="22"/>
    </row>
    <row r="37" spans="3:159" x14ac:dyDescent="0.2">
      <c r="C37" s="23">
        <v>0.64</v>
      </c>
      <c r="D37" s="125">
        <v>11822.988479827372</v>
      </c>
      <c r="E37" s="125">
        <v>21068.970664262393</v>
      </c>
      <c r="F37" s="125">
        <v>23010.786187367692</v>
      </c>
      <c r="G37" s="22">
        <v>28303.549741055696</v>
      </c>
      <c r="H37" s="137"/>
      <c r="I37" s="23">
        <v>0.64</v>
      </c>
      <c r="J37" s="125">
        <v>26024.556140576031</v>
      </c>
      <c r="K37" s="125">
        <v>49564.144633516553</v>
      </c>
      <c r="L37" s="125">
        <v>51423.0134146989</v>
      </c>
      <c r="M37" s="22">
        <v>51752.505738266533</v>
      </c>
      <c r="O37" s="23">
        <v>0.64</v>
      </c>
      <c r="P37" s="125">
        <v>39036.834210864043</v>
      </c>
      <c r="Q37" s="125">
        <v>74940.861745505157</v>
      </c>
      <c r="R37" s="125">
        <v>79288.393345911434</v>
      </c>
      <c r="S37" s="22">
        <v>80056.05547932224</v>
      </c>
      <c r="U37" s="23">
        <v>0.64</v>
      </c>
      <c r="V37" s="125">
        <v>52049.112281152062</v>
      </c>
      <c r="W37" s="125">
        <v>100317.57885749375</v>
      </c>
      <c r="X37" s="125">
        <v>107153.773277124</v>
      </c>
      <c r="Y37" s="22">
        <v>108359.60522037793</v>
      </c>
      <c r="AA37" s="23">
        <v>0.64</v>
      </c>
      <c r="AB37" s="125">
        <v>65061.390351440074</v>
      </c>
      <c r="AC37" s="125">
        <v>125694.29596948235</v>
      </c>
      <c r="AD37" s="125">
        <v>135019.15320833653</v>
      </c>
      <c r="AE37" s="22">
        <v>136663.15496143364</v>
      </c>
      <c r="AG37" s="23">
        <v>0.64</v>
      </c>
      <c r="AH37" s="125">
        <v>78073.668421728085</v>
      </c>
      <c r="AI37" s="125">
        <v>151071.01308147094</v>
      </c>
      <c r="AJ37" s="125">
        <v>162884.53313954908</v>
      </c>
      <c r="AK37" s="22">
        <v>164966.70470248934</v>
      </c>
      <c r="AM37" s="23">
        <v>0.64</v>
      </c>
      <c r="AN37" s="125">
        <v>91085.946492016097</v>
      </c>
      <c r="AO37" s="125">
        <v>176447.73019345955</v>
      </c>
      <c r="AP37" s="125">
        <v>190749.91307076166</v>
      </c>
      <c r="AQ37" s="22">
        <v>193270.25444354504</v>
      </c>
      <c r="AS37" s="154">
        <v>0.66</v>
      </c>
      <c r="AT37">
        <v>49488.0133333333</v>
      </c>
      <c r="AU37">
        <v>66930.803583200002</v>
      </c>
      <c r="AV37">
        <v>68533.214146871003</v>
      </c>
      <c r="AW37" s="22">
        <v>68351.341378470999</v>
      </c>
      <c r="AY37" s="154">
        <v>0.66</v>
      </c>
      <c r="AZ37">
        <v>98976.026666666599</v>
      </c>
      <c r="BA37">
        <v>134553.00632320001</v>
      </c>
      <c r="BB37">
        <v>139533.048352488</v>
      </c>
      <c r="BC37">
        <v>140449.77642080901</v>
      </c>
      <c r="BD37" s="22">
        <v>140260.150884009</v>
      </c>
      <c r="BF37" s="154">
        <v>0.66</v>
      </c>
      <c r="BG37">
        <v>148464.03999999899</v>
      </c>
      <c r="BH37">
        <v>202175.20906319999</v>
      </c>
      <c r="BI37">
        <v>210804.68141949599</v>
      </c>
      <c r="BJ37">
        <v>212366.338694748</v>
      </c>
      <c r="BK37" s="22">
        <v>212168.96038954801</v>
      </c>
      <c r="BM37" s="154">
        <v>0.66</v>
      </c>
      <c r="BN37">
        <v>58513.930742443794</v>
      </c>
      <c r="BO37">
        <v>58713.014847527389</v>
      </c>
      <c r="BP37">
        <v>57393.719686744495</v>
      </c>
      <c r="BQ37" s="22">
        <v>32397.408894863667</v>
      </c>
      <c r="BS37" s="154">
        <v>0.66</v>
      </c>
      <c r="BT37">
        <v>121144.12392160528</v>
      </c>
      <c r="BU37">
        <v>122067.89021224547</v>
      </c>
      <c r="BV37">
        <v>115905.97935419303</v>
      </c>
      <c r="BW37" s="22">
        <v>64794.817789727334</v>
      </c>
      <c r="BY37" s="154">
        <v>0.66</v>
      </c>
      <c r="BZ37">
        <v>183774.31710076676</v>
      </c>
      <c r="CA37">
        <v>185422.76557696355</v>
      </c>
      <c r="CB37">
        <v>174418.23902164158</v>
      </c>
      <c r="CC37" s="22">
        <v>97192.226684591005</v>
      </c>
      <c r="DC37" s="198"/>
      <c r="DD37" s="198"/>
      <c r="DE37" s="198"/>
      <c r="DF37" s="198"/>
      <c r="DG37" s="198"/>
      <c r="FC37" s="22"/>
    </row>
    <row r="38" spans="3:159" x14ac:dyDescent="0.2">
      <c r="C38" s="23">
        <v>0.66</v>
      </c>
      <c r="D38" s="125">
        <v>11822.988479827372</v>
      </c>
      <c r="E38" s="125">
        <v>21068.970664262393</v>
      </c>
      <c r="F38" s="125">
        <v>23010.786187367692</v>
      </c>
      <c r="G38" s="22">
        <v>28303.549741055696</v>
      </c>
      <c r="H38" s="137"/>
      <c r="I38" s="23">
        <v>0.66</v>
      </c>
      <c r="J38" s="125">
        <v>26024.556140576031</v>
      </c>
      <c r="K38" s="125">
        <v>49564.144633516553</v>
      </c>
      <c r="L38" s="125">
        <v>51423.0134146989</v>
      </c>
      <c r="M38" s="22">
        <v>51752.505738266533</v>
      </c>
      <c r="O38" s="23">
        <v>0.66</v>
      </c>
      <c r="P38" s="125">
        <v>39036.834210864043</v>
      </c>
      <c r="Q38" s="125">
        <v>74940.861745505157</v>
      </c>
      <c r="R38" s="125">
        <v>79288.393345911434</v>
      </c>
      <c r="S38" s="22">
        <v>80056.05547932224</v>
      </c>
      <c r="U38" s="23">
        <v>0.66</v>
      </c>
      <c r="V38" s="125">
        <v>52049.112281152062</v>
      </c>
      <c r="W38" s="125">
        <v>100317.57885749375</v>
      </c>
      <c r="X38" s="125">
        <v>107153.773277124</v>
      </c>
      <c r="Y38" s="22">
        <v>108359.60522037793</v>
      </c>
      <c r="AA38" s="23">
        <v>0.66</v>
      </c>
      <c r="AB38" s="125">
        <v>65061.390351440074</v>
      </c>
      <c r="AC38" s="125">
        <v>125694.29596948235</v>
      </c>
      <c r="AD38" s="125">
        <v>135019.15320833653</v>
      </c>
      <c r="AE38" s="22">
        <v>136663.15496143364</v>
      </c>
      <c r="AG38" s="23">
        <v>0.66</v>
      </c>
      <c r="AH38" s="125">
        <v>78073.668421728085</v>
      </c>
      <c r="AI38" s="125">
        <v>151071.01308147094</v>
      </c>
      <c r="AJ38" s="125">
        <v>162884.53313954908</v>
      </c>
      <c r="AK38" s="22">
        <v>164966.70470248934</v>
      </c>
      <c r="AM38" s="23">
        <v>0.66</v>
      </c>
      <c r="AN38" s="125">
        <v>91085.946492016097</v>
      </c>
      <c r="AO38" s="125">
        <v>176447.73019345955</v>
      </c>
      <c r="AP38" s="125">
        <v>190749.91307076166</v>
      </c>
      <c r="AQ38" s="22">
        <v>193270.25444354504</v>
      </c>
      <c r="AS38" s="154">
        <v>0.68</v>
      </c>
      <c r="AT38">
        <v>47532.762222222198</v>
      </c>
      <c r="AU38">
        <v>65504.121873599899</v>
      </c>
      <c r="AV38">
        <v>67156.696393745893</v>
      </c>
      <c r="AW38" s="22">
        <v>66988.639670545905</v>
      </c>
      <c r="AY38" s="154">
        <v>0.68</v>
      </c>
      <c r="AZ38">
        <v>95065.524444444396</v>
      </c>
      <c r="BA38">
        <v>131720.59439359899</v>
      </c>
      <c r="BB38">
        <v>136855.31528595701</v>
      </c>
      <c r="BC38">
        <v>137797.660554773</v>
      </c>
      <c r="BD38" s="22">
        <v>137622.307108373</v>
      </c>
      <c r="BF38" s="154">
        <v>0.68</v>
      </c>
      <c r="BG38">
        <v>142598.28666666601</v>
      </c>
      <c r="BH38">
        <v>197937.06691359999</v>
      </c>
      <c r="BI38">
        <v>206831.876028511</v>
      </c>
      <c r="BJ38">
        <v>208438.62471580101</v>
      </c>
      <c r="BK38" s="22">
        <v>208255.974546201</v>
      </c>
      <c r="BM38" s="154">
        <v>0.68</v>
      </c>
      <c r="BN38">
        <v>57943.559937109378</v>
      </c>
      <c r="BO38">
        <v>58153.506583311078</v>
      </c>
      <c r="BP38">
        <v>56761.794481740813</v>
      </c>
      <c r="BQ38" s="22">
        <v>31866.337832006364</v>
      </c>
      <c r="BS38" s="154">
        <v>0.68</v>
      </c>
      <c r="BT38">
        <v>119998.80033987616</v>
      </c>
      <c r="BU38">
        <v>120946.06729114527</v>
      </c>
      <c r="BV38">
        <v>114627.4853622334</v>
      </c>
      <c r="BW38" s="22">
        <v>63732.675664012728</v>
      </c>
      <c r="BY38" s="154">
        <v>0.68</v>
      </c>
      <c r="BZ38">
        <v>182054.04074264294</v>
      </c>
      <c r="CA38">
        <v>183738.62799897947</v>
      </c>
      <c r="CB38">
        <v>172493.17624272601</v>
      </c>
      <c r="CC38" s="22">
        <v>95599.013496019092</v>
      </c>
      <c r="DC38" s="198"/>
      <c r="DD38" s="198"/>
      <c r="DE38" s="198"/>
      <c r="DF38" s="198"/>
      <c r="DG38" s="198"/>
      <c r="FC38" s="22"/>
    </row>
    <row r="39" spans="3:159" x14ac:dyDescent="0.2">
      <c r="C39" s="23">
        <v>0.68</v>
      </c>
      <c r="D39" s="125">
        <v>11822.988479827372</v>
      </c>
      <c r="E39" s="125">
        <v>21068.970664262393</v>
      </c>
      <c r="F39" s="125">
        <v>23010.786187367692</v>
      </c>
      <c r="G39" s="22">
        <v>28303.549741055696</v>
      </c>
      <c r="H39" s="137"/>
      <c r="I39" s="23">
        <v>0.68</v>
      </c>
      <c r="J39" s="125">
        <v>26024.556140576031</v>
      </c>
      <c r="K39" s="125">
        <v>49564.144633516553</v>
      </c>
      <c r="L39" s="125">
        <v>51423.0134146989</v>
      </c>
      <c r="M39" s="22">
        <v>51752.505738266533</v>
      </c>
      <c r="O39" s="23">
        <v>0.68</v>
      </c>
      <c r="P39" s="125">
        <v>39036.834210864043</v>
      </c>
      <c r="Q39" s="125">
        <v>74940.861745505157</v>
      </c>
      <c r="R39" s="125">
        <v>79288.393345911434</v>
      </c>
      <c r="S39" s="22">
        <v>80056.05547932224</v>
      </c>
      <c r="U39" s="23">
        <v>0.68</v>
      </c>
      <c r="V39" s="125">
        <v>52049.112281152062</v>
      </c>
      <c r="W39" s="125">
        <v>100317.57885749375</v>
      </c>
      <c r="X39" s="125">
        <v>107153.773277124</v>
      </c>
      <c r="Y39" s="22">
        <v>108359.60522037793</v>
      </c>
      <c r="AA39" s="23">
        <v>0.68</v>
      </c>
      <c r="AB39" s="125">
        <v>65061.390351440074</v>
      </c>
      <c r="AC39" s="125">
        <v>125694.29596948235</v>
      </c>
      <c r="AD39" s="125">
        <v>135019.15320833653</v>
      </c>
      <c r="AE39" s="22">
        <v>136663.15496143364</v>
      </c>
      <c r="AG39" s="23">
        <v>0.68</v>
      </c>
      <c r="AH39" s="125">
        <v>78073.668421728085</v>
      </c>
      <c r="AI39" s="125">
        <v>151071.01308147094</v>
      </c>
      <c r="AJ39" s="125">
        <v>162884.53313954908</v>
      </c>
      <c r="AK39" s="22">
        <v>164966.70470248934</v>
      </c>
      <c r="AM39" s="23">
        <v>0.68</v>
      </c>
      <c r="AN39" s="125">
        <v>91085.946492016097</v>
      </c>
      <c r="AO39" s="125">
        <v>176447.73019345955</v>
      </c>
      <c r="AP39" s="125">
        <v>190749.91307076166</v>
      </c>
      <c r="AQ39" s="22">
        <v>193270.25444354504</v>
      </c>
      <c r="AS39" s="154">
        <v>0.7</v>
      </c>
      <c r="AT39">
        <v>45577.511111111096</v>
      </c>
      <c r="AU39">
        <v>64077.440164</v>
      </c>
      <c r="AV39">
        <v>65780.178640620798</v>
      </c>
      <c r="AW39" s="22">
        <v>65625.937962620796</v>
      </c>
      <c r="AY39" s="154">
        <v>0.7</v>
      </c>
      <c r="AZ39">
        <v>91155.022222222193</v>
      </c>
      <c r="BA39">
        <v>128888.182464</v>
      </c>
      <c r="BB39">
        <v>134177.582219426</v>
      </c>
      <c r="BC39">
        <v>135145.54468873699</v>
      </c>
      <c r="BD39" s="22">
        <v>134984.46333273701</v>
      </c>
      <c r="BF39" s="154">
        <v>0.7</v>
      </c>
      <c r="BG39">
        <v>136732.53333333301</v>
      </c>
      <c r="BH39">
        <v>193698.924764</v>
      </c>
      <c r="BI39">
        <v>202859.07063752599</v>
      </c>
      <c r="BJ39">
        <v>204510.91073685401</v>
      </c>
      <c r="BK39" s="22">
        <v>204342.988702854</v>
      </c>
      <c r="BM39" s="154">
        <v>0.7</v>
      </c>
      <c r="BN39">
        <v>57373.189131774961</v>
      </c>
      <c r="BO39">
        <v>57593.998319094768</v>
      </c>
      <c r="BP39">
        <v>56129.869276737132</v>
      </c>
      <c r="BQ39" s="22">
        <v>31335.266769149061</v>
      </c>
      <c r="BS39" s="154">
        <v>0.7</v>
      </c>
      <c r="BT39">
        <v>118853.47675814707</v>
      </c>
      <c r="BU39">
        <v>119824.24437004508</v>
      </c>
      <c r="BV39">
        <v>113348.99137027378</v>
      </c>
      <c r="BW39" s="22">
        <v>62670.533538298121</v>
      </c>
      <c r="BY39" s="154">
        <v>0.7</v>
      </c>
      <c r="BZ39">
        <v>180333.76438451916</v>
      </c>
      <c r="CA39">
        <v>182054.49042099537</v>
      </c>
      <c r="CB39">
        <v>170568.11346381041</v>
      </c>
      <c r="CC39" s="22">
        <v>94005.800307447178</v>
      </c>
      <c r="DC39" s="198"/>
      <c r="DD39" s="198"/>
      <c r="DE39" s="198"/>
      <c r="DF39" s="198"/>
      <c r="DG39" s="198"/>
      <c r="FC39" s="22"/>
    </row>
    <row r="40" spans="3:159" x14ac:dyDescent="0.2">
      <c r="C40" s="23">
        <v>0.7</v>
      </c>
      <c r="D40" s="125">
        <v>11822.988479827372</v>
      </c>
      <c r="E40" s="125">
        <v>21068.970664262393</v>
      </c>
      <c r="F40" s="125">
        <v>23010.786187367692</v>
      </c>
      <c r="G40" s="22">
        <v>28303.549741055696</v>
      </c>
      <c r="H40" s="137"/>
      <c r="I40" s="23">
        <v>0.7</v>
      </c>
      <c r="J40" s="125">
        <v>26024.556140576031</v>
      </c>
      <c r="K40" s="125">
        <v>49564.144633516553</v>
      </c>
      <c r="L40" s="125">
        <v>51423.0134146989</v>
      </c>
      <c r="M40" s="22">
        <v>51752.505738266533</v>
      </c>
      <c r="O40" s="23">
        <v>0.7</v>
      </c>
      <c r="P40" s="125">
        <v>39036.834210864043</v>
      </c>
      <c r="Q40" s="125">
        <v>74940.861745505157</v>
      </c>
      <c r="R40" s="125">
        <v>79288.393345911434</v>
      </c>
      <c r="S40" s="22">
        <v>80056.05547932224</v>
      </c>
      <c r="U40" s="23">
        <v>0.7</v>
      </c>
      <c r="V40" s="125">
        <v>52049.112281152062</v>
      </c>
      <c r="W40" s="125">
        <v>100317.57885749375</v>
      </c>
      <c r="X40" s="125">
        <v>107153.773277124</v>
      </c>
      <c r="Y40" s="22">
        <v>108359.60522037793</v>
      </c>
      <c r="AA40" s="23">
        <v>0.7</v>
      </c>
      <c r="AB40" s="125">
        <v>65061.390351440074</v>
      </c>
      <c r="AC40" s="125">
        <v>125694.29596948235</v>
      </c>
      <c r="AD40" s="125">
        <v>135019.15320833653</v>
      </c>
      <c r="AE40" s="22">
        <v>136663.15496143364</v>
      </c>
      <c r="AG40" s="23">
        <v>0.7</v>
      </c>
      <c r="AH40" s="125">
        <v>78073.668421728085</v>
      </c>
      <c r="AI40" s="125">
        <v>151071.01308147094</v>
      </c>
      <c r="AJ40" s="125">
        <v>162884.53313954908</v>
      </c>
      <c r="AK40" s="22">
        <v>164966.70470248934</v>
      </c>
      <c r="AM40" s="23">
        <v>0.7</v>
      </c>
      <c r="AN40" s="125">
        <v>91085.946492016097</v>
      </c>
      <c r="AO40" s="125">
        <v>176447.73019345955</v>
      </c>
      <c r="AP40" s="125">
        <v>190749.91307076166</v>
      </c>
      <c r="AQ40" s="22">
        <v>193270.25444354504</v>
      </c>
      <c r="AS40" s="154">
        <v>0.72</v>
      </c>
      <c r="AT40">
        <v>43622.2599999999</v>
      </c>
      <c r="AU40">
        <v>62650.758454399998</v>
      </c>
      <c r="AV40">
        <v>64403.660887495702</v>
      </c>
      <c r="AW40" s="22">
        <v>64263.236254695701</v>
      </c>
      <c r="AY40" s="154">
        <v>0.72</v>
      </c>
      <c r="AZ40">
        <v>87244.519999999902</v>
      </c>
      <c r="BA40">
        <v>126055.7705344</v>
      </c>
      <c r="BB40">
        <v>131499.849152896</v>
      </c>
      <c r="BC40">
        <v>132493.42882270101</v>
      </c>
      <c r="BD40" s="22">
        <v>132346.61955710099</v>
      </c>
      <c r="BF40" s="154">
        <v>0.72</v>
      </c>
      <c r="BG40">
        <v>130866.77999999899</v>
      </c>
      <c r="BH40">
        <v>189460.7826144</v>
      </c>
      <c r="BI40">
        <v>198886.26524654101</v>
      </c>
      <c r="BJ40">
        <v>200583.19675790699</v>
      </c>
      <c r="BK40" s="22">
        <v>200430.00285950699</v>
      </c>
      <c r="BM40" s="154">
        <v>0.72</v>
      </c>
      <c r="BN40">
        <v>56802.818326440531</v>
      </c>
      <c r="BO40">
        <v>57034.49005487845</v>
      </c>
      <c r="BP40">
        <v>55497.944071733436</v>
      </c>
      <c r="BQ40" s="22">
        <v>30804.195706291761</v>
      </c>
      <c r="BS40" s="154">
        <v>0.72</v>
      </c>
      <c r="BT40">
        <v>117708.15317641792</v>
      </c>
      <c r="BU40">
        <v>118702.42144894486</v>
      </c>
      <c r="BV40">
        <v>112070.49737831415</v>
      </c>
      <c r="BW40" s="22">
        <v>61608.391412583522</v>
      </c>
      <c r="BY40" s="154">
        <v>0.72</v>
      </c>
      <c r="BZ40">
        <v>178613.48802639532</v>
      </c>
      <c r="CA40">
        <v>180370.35284301126</v>
      </c>
      <c r="CB40">
        <v>168643.05068489481</v>
      </c>
      <c r="CC40" s="22">
        <v>92412.587118875279</v>
      </c>
      <c r="DC40" s="198"/>
      <c r="DD40" s="198"/>
      <c r="DE40" s="198"/>
      <c r="DF40" s="198"/>
      <c r="DG40" s="198"/>
      <c r="FC40" s="22"/>
    </row>
    <row r="41" spans="3:159" x14ac:dyDescent="0.2">
      <c r="C41" s="23">
        <v>0.72</v>
      </c>
      <c r="D41" s="125">
        <v>11822.988479827372</v>
      </c>
      <c r="E41" s="125">
        <v>21068.970664262393</v>
      </c>
      <c r="F41" s="125">
        <v>23010.786187367692</v>
      </c>
      <c r="G41" s="22">
        <v>28303.549741055696</v>
      </c>
      <c r="H41" s="137"/>
      <c r="I41" s="23">
        <v>0.72</v>
      </c>
      <c r="J41" s="125">
        <v>26024.556140576031</v>
      </c>
      <c r="K41" s="125">
        <v>49564.144633516553</v>
      </c>
      <c r="L41" s="125">
        <v>51423.0134146989</v>
      </c>
      <c r="M41" s="22">
        <v>51752.505738266533</v>
      </c>
      <c r="O41" s="23">
        <v>0.72</v>
      </c>
      <c r="P41" s="125">
        <v>39036.834210864043</v>
      </c>
      <c r="Q41" s="125">
        <v>74940.861745505157</v>
      </c>
      <c r="R41" s="125">
        <v>79288.393345911434</v>
      </c>
      <c r="S41" s="22">
        <v>80056.05547932224</v>
      </c>
      <c r="U41" s="23">
        <v>0.72</v>
      </c>
      <c r="V41" s="125">
        <v>52049.112281152062</v>
      </c>
      <c r="W41" s="125">
        <v>100317.57885749375</v>
      </c>
      <c r="X41" s="125">
        <v>107153.773277124</v>
      </c>
      <c r="Y41" s="22">
        <v>108359.60522037793</v>
      </c>
      <c r="AA41" s="23">
        <v>0.72</v>
      </c>
      <c r="AB41" s="125">
        <v>65061.390351440074</v>
      </c>
      <c r="AC41" s="125">
        <v>125694.29596948235</v>
      </c>
      <c r="AD41" s="125">
        <v>135019.15320833653</v>
      </c>
      <c r="AE41" s="22">
        <v>136663.15496143364</v>
      </c>
      <c r="AG41" s="23">
        <v>0.72</v>
      </c>
      <c r="AH41" s="125">
        <v>78073.668421728085</v>
      </c>
      <c r="AI41" s="125">
        <v>151071.01308147094</v>
      </c>
      <c r="AJ41" s="125">
        <v>162884.53313954908</v>
      </c>
      <c r="AK41" s="22">
        <v>164966.70470248934</v>
      </c>
      <c r="AM41" s="23">
        <v>0.72</v>
      </c>
      <c r="AN41" s="125">
        <v>91085.946492016097</v>
      </c>
      <c r="AO41" s="125">
        <v>176447.73019345955</v>
      </c>
      <c r="AP41" s="125">
        <v>190749.91307076166</v>
      </c>
      <c r="AQ41" s="22">
        <v>193270.25444354504</v>
      </c>
      <c r="AS41" s="154">
        <v>0.74</v>
      </c>
      <c r="AT41">
        <v>41667.008888888799</v>
      </c>
      <c r="AU41">
        <v>61224.076744799997</v>
      </c>
      <c r="AV41">
        <v>63027.143134370497</v>
      </c>
      <c r="AW41" s="22">
        <v>62900.534546770497</v>
      </c>
      <c r="AY41" s="154">
        <v>0.74</v>
      </c>
      <c r="AZ41">
        <v>83334.017777777699</v>
      </c>
      <c r="BA41">
        <v>123223.3586048</v>
      </c>
      <c r="BB41">
        <v>128822.116086365</v>
      </c>
      <c r="BC41">
        <v>129841.312956665</v>
      </c>
      <c r="BD41" s="22">
        <v>129708.775781465</v>
      </c>
      <c r="BF41" s="154">
        <v>0.74</v>
      </c>
      <c r="BG41">
        <v>125001.026666666</v>
      </c>
      <c r="BH41">
        <v>185222.6404648</v>
      </c>
      <c r="BI41">
        <v>194913.45985555599</v>
      </c>
      <c r="BJ41">
        <v>196655.48277895999</v>
      </c>
      <c r="BK41" s="22">
        <v>196517.01701616001</v>
      </c>
      <c r="BM41" s="154">
        <v>0.74</v>
      </c>
      <c r="BN41">
        <v>56232.447521106122</v>
      </c>
      <c r="BO41">
        <v>56474.981790662132</v>
      </c>
      <c r="BP41">
        <v>54866.018866729748</v>
      </c>
      <c r="BQ41" s="22">
        <v>30273.124643434454</v>
      </c>
      <c r="BS41" s="154">
        <v>0.74</v>
      </c>
      <c r="BT41">
        <v>116562.82959468882</v>
      </c>
      <c r="BU41">
        <v>117580.59852784465</v>
      </c>
      <c r="BV41">
        <v>110792.00338635451</v>
      </c>
      <c r="BW41" s="22">
        <v>60546.249286868908</v>
      </c>
      <c r="BY41" s="154">
        <v>0.74</v>
      </c>
      <c r="BZ41">
        <v>176893.21166827151</v>
      </c>
      <c r="CA41">
        <v>178686.21526502719</v>
      </c>
      <c r="CB41">
        <v>166717.98790597924</v>
      </c>
      <c r="CC41" s="22">
        <v>90819.373930303351</v>
      </c>
      <c r="DC41" s="198"/>
      <c r="DD41" s="198"/>
      <c r="DE41" s="198"/>
      <c r="DF41" s="198"/>
      <c r="DG41" s="198"/>
      <c r="FC41" s="22"/>
    </row>
    <row r="42" spans="3:159" x14ac:dyDescent="0.2">
      <c r="C42" s="23">
        <v>0.74</v>
      </c>
      <c r="D42" s="125">
        <v>11822.988479827372</v>
      </c>
      <c r="E42" s="125">
        <v>21068.970664262393</v>
      </c>
      <c r="F42" s="125">
        <v>23010.786187367692</v>
      </c>
      <c r="G42" s="22">
        <v>28303.549741055696</v>
      </c>
      <c r="H42" s="137"/>
      <c r="I42" s="23">
        <v>0.74</v>
      </c>
      <c r="J42" s="125">
        <v>26024.556140576031</v>
      </c>
      <c r="K42" s="125">
        <v>49564.144633516553</v>
      </c>
      <c r="L42" s="125">
        <v>51423.0134146989</v>
      </c>
      <c r="M42" s="22">
        <v>51752.505738266533</v>
      </c>
      <c r="O42" s="23">
        <v>0.74</v>
      </c>
      <c r="P42" s="125">
        <v>39036.834210864043</v>
      </c>
      <c r="Q42" s="125">
        <v>74940.861745505157</v>
      </c>
      <c r="R42" s="125">
        <v>79288.393345911434</v>
      </c>
      <c r="S42" s="22">
        <v>80056.05547932224</v>
      </c>
      <c r="U42" s="23">
        <v>0.74</v>
      </c>
      <c r="V42" s="125">
        <v>52049.112281152062</v>
      </c>
      <c r="W42" s="125">
        <v>100317.57885749375</v>
      </c>
      <c r="X42" s="125">
        <v>107153.773277124</v>
      </c>
      <c r="Y42" s="22">
        <v>108359.60522037793</v>
      </c>
      <c r="AA42" s="23">
        <v>0.74</v>
      </c>
      <c r="AB42" s="125">
        <v>65061.390351440074</v>
      </c>
      <c r="AC42" s="125">
        <v>125694.29596948235</v>
      </c>
      <c r="AD42" s="125">
        <v>135019.15320833653</v>
      </c>
      <c r="AE42" s="22">
        <v>136663.15496143364</v>
      </c>
      <c r="AG42" s="23">
        <v>0.74</v>
      </c>
      <c r="AH42" s="125">
        <v>78073.668421728085</v>
      </c>
      <c r="AI42" s="125">
        <v>151071.01308147094</v>
      </c>
      <c r="AJ42" s="125">
        <v>162884.53313954908</v>
      </c>
      <c r="AK42" s="22">
        <v>164966.70470248934</v>
      </c>
      <c r="AM42" s="23">
        <v>0.74</v>
      </c>
      <c r="AN42" s="125">
        <v>91085.946492016097</v>
      </c>
      <c r="AO42" s="125">
        <v>176447.73019345955</v>
      </c>
      <c r="AP42" s="125">
        <v>190749.91307076166</v>
      </c>
      <c r="AQ42" s="22">
        <v>193270.25444354504</v>
      </c>
      <c r="AS42" s="154">
        <v>0.76</v>
      </c>
      <c r="AT42">
        <v>39711.757777777697</v>
      </c>
      <c r="AU42">
        <v>59797.395035200003</v>
      </c>
      <c r="AV42">
        <v>61650.625381245402</v>
      </c>
      <c r="AW42" s="22">
        <v>61537.832838845403</v>
      </c>
      <c r="AY42" s="154">
        <v>0.76</v>
      </c>
      <c r="AZ42">
        <v>79423.515555555496</v>
      </c>
      <c r="BA42">
        <v>120390.9466752</v>
      </c>
      <c r="BB42">
        <v>126144.383019834</v>
      </c>
      <c r="BC42">
        <v>127189.19709062899</v>
      </c>
      <c r="BD42" s="22">
        <v>127070.932005829</v>
      </c>
      <c r="BF42" s="154">
        <v>0.76</v>
      </c>
      <c r="BG42">
        <v>119135.273333333</v>
      </c>
      <c r="BH42">
        <v>180984.49831520001</v>
      </c>
      <c r="BI42">
        <v>190940.65446457101</v>
      </c>
      <c r="BJ42">
        <v>192727.768800013</v>
      </c>
      <c r="BK42" s="22">
        <v>192604.031172813</v>
      </c>
      <c r="BM42" s="154">
        <v>0.76</v>
      </c>
      <c r="BN42">
        <v>55662.076715771698</v>
      </c>
      <c r="BO42">
        <v>55915.473526445814</v>
      </c>
      <c r="BP42">
        <v>54234.09366172606</v>
      </c>
      <c r="BQ42" s="22">
        <v>29742.053580577151</v>
      </c>
      <c r="BS42" s="154">
        <v>0.76</v>
      </c>
      <c r="BT42">
        <v>115417.5060129597</v>
      </c>
      <c r="BU42">
        <v>116458.77560674446</v>
      </c>
      <c r="BV42">
        <v>109513.50939439486</v>
      </c>
      <c r="BW42" s="22">
        <v>59484.107161154301</v>
      </c>
      <c r="BY42" s="154">
        <v>0.76</v>
      </c>
      <c r="BZ42">
        <v>175172.9353101477</v>
      </c>
      <c r="CA42">
        <v>177002.07768704309</v>
      </c>
      <c r="CB42">
        <v>164792.92512706365</v>
      </c>
      <c r="CC42" s="22">
        <v>89226.160741731452</v>
      </c>
      <c r="DC42" s="198"/>
      <c r="DD42" s="198"/>
      <c r="DE42" s="198"/>
      <c r="DF42" s="198"/>
      <c r="DG42" s="198"/>
      <c r="FC42" s="22"/>
    </row>
    <row r="43" spans="3:159" x14ac:dyDescent="0.2">
      <c r="C43" s="23">
        <v>0.76</v>
      </c>
      <c r="D43" s="125">
        <v>11822.988479827372</v>
      </c>
      <c r="E43" s="125">
        <v>21068.970664262393</v>
      </c>
      <c r="F43" s="125">
        <v>23010.786187367692</v>
      </c>
      <c r="G43" s="22">
        <v>28303.549741055696</v>
      </c>
      <c r="H43" s="137"/>
      <c r="I43" s="23">
        <v>0.76</v>
      </c>
      <c r="J43" s="125">
        <v>26024.556140576031</v>
      </c>
      <c r="K43" s="125">
        <v>49564.144633516553</v>
      </c>
      <c r="L43" s="125">
        <v>51423.0134146989</v>
      </c>
      <c r="M43" s="22">
        <v>51752.505738266533</v>
      </c>
      <c r="O43" s="23">
        <v>0.76</v>
      </c>
      <c r="P43" s="125">
        <v>39036.834210864043</v>
      </c>
      <c r="Q43" s="125">
        <v>74940.861745505157</v>
      </c>
      <c r="R43" s="125">
        <v>79288.393345911434</v>
      </c>
      <c r="S43" s="22">
        <v>80056.05547932224</v>
      </c>
      <c r="U43" s="23">
        <v>0.76</v>
      </c>
      <c r="V43" s="125">
        <v>52049.112281152062</v>
      </c>
      <c r="W43" s="125">
        <v>100317.57885749375</v>
      </c>
      <c r="X43" s="125">
        <v>107153.773277124</v>
      </c>
      <c r="Y43" s="22">
        <v>108359.60522037793</v>
      </c>
      <c r="AA43" s="23">
        <v>0.76</v>
      </c>
      <c r="AB43" s="125">
        <v>65061.390351440074</v>
      </c>
      <c r="AC43" s="125">
        <v>125694.29596948235</v>
      </c>
      <c r="AD43" s="125">
        <v>135019.15320833653</v>
      </c>
      <c r="AE43" s="22">
        <v>136663.15496143364</v>
      </c>
      <c r="AG43" s="23">
        <v>0.76</v>
      </c>
      <c r="AH43" s="125">
        <v>78073.668421728085</v>
      </c>
      <c r="AI43" s="125">
        <v>151071.01308147094</v>
      </c>
      <c r="AJ43" s="125">
        <v>162884.53313954908</v>
      </c>
      <c r="AK43" s="22">
        <v>164966.70470248934</v>
      </c>
      <c r="AM43" s="23">
        <v>0.76</v>
      </c>
      <c r="AN43" s="125">
        <v>91085.946492016097</v>
      </c>
      <c r="AO43" s="125">
        <v>176447.73019345955</v>
      </c>
      <c r="AP43" s="125">
        <v>190749.91307076166</v>
      </c>
      <c r="AQ43" s="22">
        <v>193270.25444354504</v>
      </c>
      <c r="AS43" s="154">
        <v>0.78</v>
      </c>
      <c r="AT43">
        <v>37756.506666666603</v>
      </c>
      <c r="AU43">
        <v>58370.713325600002</v>
      </c>
      <c r="AV43">
        <v>60274.107628120299</v>
      </c>
      <c r="AW43" s="22">
        <v>60175.131130920301</v>
      </c>
      <c r="AY43" s="154">
        <v>0.78</v>
      </c>
      <c r="AZ43">
        <v>75513.013333333307</v>
      </c>
      <c r="BA43">
        <v>117558.5347456</v>
      </c>
      <c r="BB43">
        <v>123466.649953304</v>
      </c>
      <c r="BC43">
        <v>124537.081224593</v>
      </c>
      <c r="BD43" s="22">
        <v>124433.088230193</v>
      </c>
      <c r="BF43" s="154">
        <v>0.78</v>
      </c>
      <c r="BG43">
        <v>113269.519999999</v>
      </c>
      <c r="BH43">
        <v>176746.35616560001</v>
      </c>
      <c r="BI43">
        <v>186967.849073586</v>
      </c>
      <c r="BJ43">
        <v>188800.05482106601</v>
      </c>
      <c r="BK43" s="22">
        <v>188691.045329466</v>
      </c>
      <c r="BM43" s="154">
        <v>0.78</v>
      </c>
      <c r="BN43">
        <v>55091.70591043726</v>
      </c>
      <c r="BO43">
        <v>55355.965262229503</v>
      </c>
      <c r="BP43">
        <v>53602.168456722371</v>
      </c>
      <c r="BQ43" s="22">
        <v>29210.982517719844</v>
      </c>
      <c r="BS43" s="154">
        <v>0.78</v>
      </c>
      <c r="BT43">
        <v>114272.18243123055</v>
      </c>
      <c r="BU43">
        <v>115336.95268564425</v>
      </c>
      <c r="BV43">
        <v>108235.01540243524</v>
      </c>
      <c r="BW43" s="22">
        <v>58421.965035439687</v>
      </c>
      <c r="BY43" s="154">
        <v>0.78</v>
      </c>
      <c r="BZ43">
        <v>173452.65895202386</v>
      </c>
      <c r="CA43">
        <v>175317.94010905901</v>
      </c>
      <c r="CB43">
        <v>162867.8623481481</v>
      </c>
      <c r="CC43" s="22">
        <v>87632.947553159524</v>
      </c>
      <c r="DC43" s="198"/>
      <c r="DD43" s="198"/>
      <c r="DE43" s="198"/>
      <c r="DF43" s="198"/>
      <c r="DG43" s="198"/>
      <c r="FC43" s="22"/>
    </row>
    <row r="44" spans="3:159" x14ac:dyDescent="0.2">
      <c r="C44" s="23">
        <v>0.78</v>
      </c>
      <c r="D44" s="125">
        <v>11822.988479827372</v>
      </c>
      <c r="E44" s="125">
        <v>21068.970664262393</v>
      </c>
      <c r="F44" s="125">
        <v>23010.786187367692</v>
      </c>
      <c r="G44" s="22">
        <v>28303.549741055696</v>
      </c>
      <c r="H44" s="137"/>
      <c r="I44" s="23">
        <v>0.78</v>
      </c>
      <c r="J44" s="125">
        <v>26024.556140576031</v>
      </c>
      <c r="K44" s="125">
        <v>49564.144633516553</v>
      </c>
      <c r="L44" s="125">
        <v>51423.0134146989</v>
      </c>
      <c r="M44" s="22">
        <v>51752.505738266533</v>
      </c>
      <c r="O44" s="23">
        <v>0.78</v>
      </c>
      <c r="P44" s="125">
        <v>39036.834210864043</v>
      </c>
      <c r="Q44" s="125">
        <v>74940.861745505157</v>
      </c>
      <c r="R44" s="125">
        <v>79288.393345911434</v>
      </c>
      <c r="S44" s="22">
        <v>80056.05547932224</v>
      </c>
      <c r="U44" s="23">
        <v>0.78</v>
      </c>
      <c r="V44" s="125">
        <v>52049.112281152062</v>
      </c>
      <c r="W44" s="125">
        <v>100317.57885749375</v>
      </c>
      <c r="X44" s="125">
        <v>107153.773277124</v>
      </c>
      <c r="Y44" s="22">
        <v>108359.60522037793</v>
      </c>
      <c r="AA44" s="23">
        <v>0.78</v>
      </c>
      <c r="AB44" s="125">
        <v>65061.390351440074</v>
      </c>
      <c r="AC44" s="125">
        <v>125694.29596948235</v>
      </c>
      <c r="AD44" s="125">
        <v>135019.15320833653</v>
      </c>
      <c r="AE44" s="22">
        <v>136663.15496143364</v>
      </c>
      <c r="AG44" s="23">
        <v>0.78</v>
      </c>
      <c r="AH44" s="125">
        <v>78073.668421728085</v>
      </c>
      <c r="AI44" s="125">
        <v>151071.01308147094</v>
      </c>
      <c r="AJ44" s="125">
        <v>162884.53313954908</v>
      </c>
      <c r="AK44" s="22">
        <v>164966.70470248934</v>
      </c>
      <c r="AM44" s="23">
        <v>0.78</v>
      </c>
      <c r="AN44" s="125">
        <v>91085.946492016097</v>
      </c>
      <c r="AO44" s="125">
        <v>176447.73019345955</v>
      </c>
      <c r="AP44" s="125">
        <v>190749.91307076166</v>
      </c>
      <c r="AQ44" s="22">
        <v>193270.25444354504</v>
      </c>
      <c r="AS44" s="154">
        <v>0.8</v>
      </c>
      <c r="AT44">
        <v>35801.255555555501</v>
      </c>
      <c r="AU44">
        <v>56944.031615999898</v>
      </c>
      <c r="AV44">
        <v>58897.589874995203</v>
      </c>
      <c r="AW44" s="22">
        <v>58812.429422995199</v>
      </c>
      <c r="AY44" s="154">
        <v>0.8</v>
      </c>
      <c r="AZ44">
        <v>71602.511111111104</v>
      </c>
      <c r="BA44">
        <v>114726.122815999</v>
      </c>
      <c r="BB44">
        <v>120788.916886773</v>
      </c>
      <c r="BC44">
        <v>121884.965358557</v>
      </c>
      <c r="BD44" s="22">
        <v>121795.244454557</v>
      </c>
      <c r="BF44" s="154">
        <v>0.8</v>
      </c>
      <c r="BG44">
        <v>107403.76666666599</v>
      </c>
      <c r="BH44">
        <v>172508.21401599899</v>
      </c>
      <c r="BI44">
        <v>182995.04368260101</v>
      </c>
      <c r="BJ44">
        <v>184872.34084211901</v>
      </c>
      <c r="BK44" s="22">
        <v>184778.05948611899</v>
      </c>
      <c r="BM44" s="154">
        <v>0.8</v>
      </c>
      <c r="BN44">
        <v>54521.335105102837</v>
      </c>
      <c r="BO44">
        <v>54796.456998013178</v>
      </c>
      <c r="BP44">
        <v>52970.243251718683</v>
      </c>
      <c r="BQ44" s="22">
        <v>28679.91145486254</v>
      </c>
      <c r="BS44" s="154">
        <v>0.8</v>
      </c>
      <c r="BT44">
        <v>113126.85884950144</v>
      </c>
      <c r="BU44">
        <v>114215.12976454402</v>
      </c>
      <c r="BV44">
        <v>106956.5214104756</v>
      </c>
      <c r="BW44" s="22">
        <v>57359.822909725081</v>
      </c>
      <c r="BY44" s="154">
        <v>0.8</v>
      </c>
      <c r="BZ44">
        <v>171732.38259390005</v>
      </c>
      <c r="CA44">
        <v>173633.80253107488</v>
      </c>
      <c r="CB44">
        <v>160942.79956923251</v>
      </c>
      <c r="CC44" s="22">
        <v>86039.734364587624</v>
      </c>
      <c r="DC44" s="198"/>
      <c r="DD44" s="198"/>
      <c r="DE44" s="198"/>
      <c r="DF44" s="198"/>
      <c r="DG44" s="198"/>
      <c r="FC44" s="22"/>
    </row>
    <row r="45" spans="3:159" x14ac:dyDescent="0.2">
      <c r="C45" s="23">
        <v>0.8</v>
      </c>
      <c r="D45" s="125">
        <v>11822.988479827372</v>
      </c>
      <c r="E45" s="125">
        <v>21068.970664262393</v>
      </c>
      <c r="F45" s="125">
        <v>23010.786187367692</v>
      </c>
      <c r="G45" s="22">
        <v>28303.549741055696</v>
      </c>
      <c r="H45" s="137"/>
      <c r="I45" s="23">
        <v>0.8</v>
      </c>
      <c r="J45" s="125">
        <v>26024.556140576031</v>
      </c>
      <c r="K45" s="125">
        <v>49564.144633516553</v>
      </c>
      <c r="L45" s="125">
        <v>51423.0134146989</v>
      </c>
      <c r="M45" s="22">
        <v>51752.505738266533</v>
      </c>
      <c r="O45" s="23">
        <v>0.8</v>
      </c>
      <c r="P45" s="125">
        <v>39036.834210864043</v>
      </c>
      <c r="Q45" s="125">
        <v>74940.861745505157</v>
      </c>
      <c r="R45" s="125">
        <v>79288.393345911434</v>
      </c>
      <c r="S45" s="22">
        <v>80056.05547932224</v>
      </c>
      <c r="U45" s="23">
        <v>0.8</v>
      </c>
      <c r="V45" s="125">
        <v>52049.112281152062</v>
      </c>
      <c r="W45" s="125">
        <v>100317.57885749375</v>
      </c>
      <c r="X45" s="125">
        <v>107153.773277124</v>
      </c>
      <c r="Y45" s="22">
        <v>108359.60522037793</v>
      </c>
      <c r="AA45" s="23">
        <v>0.8</v>
      </c>
      <c r="AB45" s="125">
        <v>65061.390351440074</v>
      </c>
      <c r="AC45" s="125">
        <v>125694.29596948235</v>
      </c>
      <c r="AD45" s="125">
        <v>135019.15320833653</v>
      </c>
      <c r="AE45" s="22">
        <v>136663.15496143364</v>
      </c>
      <c r="AG45" s="23">
        <v>0.8</v>
      </c>
      <c r="AH45" s="125">
        <v>78073.668421728085</v>
      </c>
      <c r="AI45" s="125">
        <v>151071.01308147094</v>
      </c>
      <c r="AJ45" s="125">
        <v>162884.53313954908</v>
      </c>
      <c r="AK45" s="22">
        <v>164966.70470248934</v>
      </c>
      <c r="AM45" s="23">
        <v>0.8</v>
      </c>
      <c r="AN45" s="125">
        <v>91085.946492016097</v>
      </c>
      <c r="AO45" s="125">
        <v>176447.73019345955</v>
      </c>
      <c r="AP45" s="125">
        <v>190749.91307076166</v>
      </c>
      <c r="AQ45" s="22">
        <v>193270.25444354504</v>
      </c>
      <c r="AS45" s="154">
        <v>0.82</v>
      </c>
      <c r="AT45">
        <v>33846.004444444399</v>
      </c>
      <c r="AU45">
        <v>55517.349906399999</v>
      </c>
      <c r="AV45">
        <v>57521.0721218701</v>
      </c>
      <c r="AW45" s="22">
        <v>57449.727715070097</v>
      </c>
      <c r="AY45" s="154">
        <v>0.82</v>
      </c>
      <c r="AZ45">
        <v>67692.008888888799</v>
      </c>
      <c r="BA45">
        <v>111893.710886399</v>
      </c>
      <c r="BB45">
        <v>118111.183820242</v>
      </c>
      <c r="BC45">
        <v>119232.849492521</v>
      </c>
      <c r="BD45" s="22">
        <v>119157.400678921</v>
      </c>
      <c r="BF45" s="154">
        <v>0.82</v>
      </c>
      <c r="BG45">
        <v>101538.013333333</v>
      </c>
      <c r="BH45">
        <v>168270.07186639999</v>
      </c>
      <c r="BI45">
        <v>179022.238291616</v>
      </c>
      <c r="BJ45">
        <v>180944.62686317199</v>
      </c>
      <c r="BK45" s="22">
        <v>180865.07364277201</v>
      </c>
      <c r="BM45" s="154">
        <v>0.82</v>
      </c>
      <c r="BN45">
        <v>53950.964299768428</v>
      </c>
      <c r="BO45">
        <v>54236.948733796875</v>
      </c>
      <c r="BP45">
        <v>52338.318046715001</v>
      </c>
      <c r="BQ45" s="22">
        <v>28148.840392005241</v>
      </c>
      <c r="BS45" s="154">
        <v>0.82</v>
      </c>
      <c r="BT45">
        <v>111981.53526777233</v>
      </c>
      <c r="BU45">
        <v>113093.30684344385</v>
      </c>
      <c r="BV45">
        <v>105678.02741851598</v>
      </c>
      <c r="BW45" s="22">
        <v>56297.680784010481</v>
      </c>
      <c r="BY45" s="154">
        <v>0.82</v>
      </c>
      <c r="BZ45">
        <v>170012.10623577624</v>
      </c>
      <c r="CA45">
        <v>171949.6649530908</v>
      </c>
      <c r="CB45">
        <v>159017.73679031697</v>
      </c>
      <c r="CC45" s="22">
        <v>84446.521176015711</v>
      </c>
      <c r="DC45" s="198"/>
      <c r="DD45" s="198"/>
      <c r="DE45" s="198"/>
      <c r="DF45" s="198"/>
      <c r="DG45" s="198"/>
      <c r="FC45" s="22"/>
    </row>
    <row r="46" spans="3:159" x14ac:dyDescent="0.2">
      <c r="C46" s="23">
        <v>0.82</v>
      </c>
      <c r="D46" s="125">
        <v>11822.988479827372</v>
      </c>
      <c r="E46" s="125">
        <v>21068.970664262393</v>
      </c>
      <c r="F46" s="125">
        <v>23010.786187367692</v>
      </c>
      <c r="G46" s="22">
        <v>28303.549741055696</v>
      </c>
      <c r="H46" s="137"/>
      <c r="I46" s="23">
        <v>0.82</v>
      </c>
      <c r="J46" s="125">
        <v>26024.556140576031</v>
      </c>
      <c r="K46" s="125">
        <v>49564.144633516553</v>
      </c>
      <c r="L46" s="125">
        <v>51423.0134146989</v>
      </c>
      <c r="M46" s="22">
        <v>51752.505738266533</v>
      </c>
      <c r="O46" s="23">
        <v>0.82</v>
      </c>
      <c r="P46" s="125">
        <v>39036.834210864043</v>
      </c>
      <c r="Q46" s="125">
        <v>74940.861745505157</v>
      </c>
      <c r="R46" s="125">
        <v>79288.393345911434</v>
      </c>
      <c r="S46" s="22">
        <v>80056.05547932224</v>
      </c>
      <c r="U46" s="23">
        <v>0.82</v>
      </c>
      <c r="V46" s="125">
        <v>52049.112281152062</v>
      </c>
      <c r="W46" s="125">
        <v>100317.57885749375</v>
      </c>
      <c r="X46" s="125">
        <v>107153.773277124</v>
      </c>
      <c r="Y46" s="22">
        <v>108359.60522037793</v>
      </c>
      <c r="AA46" s="23">
        <v>0.82</v>
      </c>
      <c r="AB46" s="125">
        <v>65061.390351440074</v>
      </c>
      <c r="AC46" s="125">
        <v>125694.29596948235</v>
      </c>
      <c r="AD46" s="125">
        <v>135019.15320833653</v>
      </c>
      <c r="AE46" s="22">
        <v>136663.15496143364</v>
      </c>
      <c r="AG46" s="23">
        <v>0.82</v>
      </c>
      <c r="AH46" s="125">
        <v>78073.668421728085</v>
      </c>
      <c r="AI46" s="125">
        <v>151071.01308147094</v>
      </c>
      <c r="AJ46" s="125">
        <v>162884.53313954908</v>
      </c>
      <c r="AK46" s="22">
        <v>164966.70470248934</v>
      </c>
      <c r="AM46" s="23">
        <v>0.82</v>
      </c>
      <c r="AN46" s="125">
        <v>91085.946492016097</v>
      </c>
      <c r="AO46" s="125">
        <v>176447.73019345955</v>
      </c>
      <c r="AP46" s="125">
        <v>190749.91307076166</v>
      </c>
      <c r="AQ46" s="22">
        <v>193270.25444354504</v>
      </c>
      <c r="AS46" s="154">
        <v>0.84</v>
      </c>
      <c r="AT46">
        <v>31890.753333333301</v>
      </c>
      <c r="AU46">
        <v>54090.668196799998</v>
      </c>
      <c r="AV46">
        <v>56144.554368744997</v>
      </c>
      <c r="AW46" s="22">
        <v>56087.026007145003</v>
      </c>
      <c r="AY46" s="154">
        <v>0.84</v>
      </c>
      <c r="AZ46">
        <v>63781.506666666603</v>
      </c>
      <c r="BA46">
        <v>109061.2989568</v>
      </c>
      <c r="BB46">
        <v>115433.45075371199</v>
      </c>
      <c r="BC46">
        <v>116580.733626485</v>
      </c>
      <c r="BD46" s="22">
        <v>116519.556903285</v>
      </c>
      <c r="BF46" s="154">
        <v>0.84</v>
      </c>
      <c r="BG46">
        <v>95672.26</v>
      </c>
      <c r="BH46">
        <v>164031.92971679999</v>
      </c>
      <c r="BI46">
        <v>175049.43290063101</v>
      </c>
      <c r="BJ46">
        <v>177016.91288422499</v>
      </c>
      <c r="BK46" s="22">
        <v>176952.087799425</v>
      </c>
      <c r="BM46" s="154">
        <v>0.84</v>
      </c>
      <c r="BN46">
        <v>53380.59349443399</v>
      </c>
      <c r="BO46">
        <v>53677.440469580542</v>
      </c>
      <c r="BP46">
        <v>51706.392841711306</v>
      </c>
      <c r="BQ46" s="22">
        <v>27617.769329147937</v>
      </c>
      <c r="BS46" s="154">
        <v>0.84</v>
      </c>
      <c r="BT46">
        <v>110836.21168604319</v>
      </c>
      <c r="BU46">
        <v>111971.48392234361</v>
      </c>
      <c r="BV46">
        <v>104399.53342655634</v>
      </c>
      <c r="BW46" s="22">
        <v>55235.538658295874</v>
      </c>
      <c r="BY46" s="154">
        <v>0.84</v>
      </c>
      <c r="BZ46">
        <v>168291.8298776524</v>
      </c>
      <c r="CA46">
        <v>170265.5273751067</v>
      </c>
      <c r="CB46">
        <v>157092.67401140137</v>
      </c>
      <c r="CC46" s="22">
        <v>82853.307987443812</v>
      </c>
      <c r="DC46" s="198"/>
      <c r="DD46" s="198"/>
      <c r="DE46" s="198"/>
      <c r="DF46" s="198"/>
      <c r="DG46" s="198"/>
      <c r="FC46" s="22"/>
    </row>
    <row r="47" spans="3:159" x14ac:dyDescent="0.2">
      <c r="C47" s="23">
        <v>0.84</v>
      </c>
      <c r="D47" s="125">
        <v>11822.988479827372</v>
      </c>
      <c r="E47" s="125">
        <v>21068.970664262393</v>
      </c>
      <c r="F47" s="125">
        <v>23010.786187367692</v>
      </c>
      <c r="G47" s="22">
        <v>28303.549741055696</v>
      </c>
      <c r="H47" s="137"/>
      <c r="I47" s="23">
        <v>0.84</v>
      </c>
      <c r="J47" s="125">
        <v>26024.556140576031</v>
      </c>
      <c r="K47" s="125">
        <v>49564.144633516553</v>
      </c>
      <c r="L47" s="125">
        <v>51423.0134146989</v>
      </c>
      <c r="M47" s="22">
        <v>51752.505738266533</v>
      </c>
      <c r="O47" s="23">
        <v>0.84</v>
      </c>
      <c r="P47" s="125">
        <v>39036.834210864043</v>
      </c>
      <c r="Q47" s="125">
        <v>74940.861745505157</v>
      </c>
      <c r="R47" s="125">
        <v>79288.393345911434</v>
      </c>
      <c r="S47" s="22">
        <v>80056.05547932224</v>
      </c>
      <c r="U47" s="23">
        <v>0.84</v>
      </c>
      <c r="V47" s="125">
        <v>52049.112281152062</v>
      </c>
      <c r="W47" s="125">
        <v>100317.57885749375</v>
      </c>
      <c r="X47" s="125">
        <v>107153.773277124</v>
      </c>
      <c r="Y47" s="22">
        <v>108359.60522037793</v>
      </c>
      <c r="AA47" s="23">
        <v>0.84</v>
      </c>
      <c r="AB47" s="125">
        <v>65061.390351440074</v>
      </c>
      <c r="AC47" s="125">
        <v>125694.29596948235</v>
      </c>
      <c r="AD47" s="125">
        <v>135019.15320833653</v>
      </c>
      <c r="AE47" s="22">
        <v>136663.15496143364</v>
      </c>
      <c r="AG47" s="23">
        <v>0.84</v>
      </c>
      <c r="AH47" s="125">
        <v>78073.668421728085</v>
      </c>
      <c r="AI47" s="125">
        <v>151071.01308147094</v>
      </c>
      <c r="AJ47" s="125">
        <v>162884.53313954908</v>
      </c>
      <c r="AK47" s="22">
        <v>164966.70470248934</v>
      </c>
      <c r="AM47" s="23">
        <v>0.84</v>
      </c>
      <c r="AN47" s="125">
        <v>91085.946492016097</v>
      </c>
      <c r="AO47" s="125">
        <v>176447.73019345955</v>
      </c>
      <c r="AP47" s="125">
        <v>190749.91307076166</v>
      </c>
      <c r="AQ47" s="22">
        <v>193270.25444354504</v>
      </c>
      <c r="AS47" s="154">
        <v>0.86</v>
      </c>
      <c r="AT47">
        <v>29935.5022222222</v>
      </c>
      <c r="AU47">
        <v>52663.986487200003</v>
      </c>
      <c r="AV47">
        <v>54768.0366156198</v>
      </c>
      <c r="AW47" s="22">
        <v>54724.324299219799</v>
      </c>
      <c r="AY47" s="154">
        <v>0.86</v>
      </c>
      <c r="AZ47">
        <v>59871.004444444399</v>
      </c>
      <c r="BA47">
        <v>106228.88702720001</v>
      </c>
      <c r="BB47">
        <v>112755.71768718099</v>
      </c>
      <c r="BC47">
        <v>113928.61776044899</v>
      </c>
      <c r="BD47" s="22">
        <v>113881.71312764801</v>
      </c>
      <c r="BF47" s="154">
        <v>0.86</v>
      </c>
      <c r="BG47">
        <v>89806.506666666595</v>
      </c>
      <c r="BH47">
        <v>159793.78756719999</v>
      </c>
      <c r="BI47">
        <v>171076.627509646</v>
      </c>
      <c r="BJ47">
        <v>173089.198905278</v>
      </c>
      <c r="BK47" s="22">
        <v>173039.101956078</v>
      </c>
      <c r="BM47" s="154">
        <v>0.86</v>
      </c>
      <c r="BN47">
        <v>52810.222689099573</v>
      </c>
      <c r="BO47">
        <v>53117.932205364225</v>
      </c>
      <c r="BP47">
        <v>51074.46763670761</v>
      </c>
      <c r="BQ47" s="22">
        <v>27086.698266290634</v>
      </c>
      <c r="BS47" s="154">
        <v>0.86</v>
      </c>
      <c r="BT47">
        <v>109690.88810431409</v>
      </c>
      <c r="BU47">
        <v>110849.66100124341</v>
      </c>
      <c r="BV47">
        <v>103121.03943459669</v>
      </c>
      <c r="BW47" s="22">
        <v>54173.396532581268</v>
      </c>
      <c r="BY47" s="154">
        <v>0.86</v>
      </c>
      <c r="BZ47">
        <v>166571.55351952859</v>
      </c>
      <c r="CA47">
        <v>168581.3897971226</v>
      </c>
      <c r="CB47">
        <v>155167.61123248577</v>
      </c>
      <c r="CC47" s="22">
        <v>81260.094798871898</v>
      </c>
      <c r="DC47" s="198"/>
      <c r="DD47" s="198"/>
      <c r="DE47" s="198"/>
      <c r="DF47" s="198"/>
      <c r="DG47" s="198"/>
      <c r="FC47" s="22"/>
    </row>
    <row r="48" spans="3:159" x14ac:dyDescent="0.2">
      <c r="C48" s="23">
        <v>0.86</v>
      </c>
      <c r="D48" s="125">
        <v>11822.988479827372</v>
      </c>
      <c r="E48" s="125">
        <v>21068.970664262393</v>
      </c>
      <c r="F48" s="125">
        <v>23010.786187367692</v>
      </c>
      <c r="G48" s="22">
        <v>28303.549741055696</v>
      </c>
      <c r="H48" s="137"/>
      <c r="I48" s="23">
        <v>0.86</v>
      </c>
      <c r="J48" s="125">
        <v>26024.556140576031</v>
      </c>
      <c r="K48" s="125">
        <v>49564.144633516553</v>
      </c>
      <c r="L48" s="125">
        <v>51423.0134146989</v>
      </c>
      <c r="M48" s="22">
        <v>51752.505738266533</v>
      </c>
      <c r="O48" s="23">
        <v>0.86</v>
      </c>
      <c r="P48" s="125">
        <v>39036.834210864043</v>
      </c>
      <c r="Q48" s="125">
        <v>74940.861745505157</v>
      </c>
      <c r="R48" s="125">
        <v>79288.393345911434</v>
      </c>
      <c r="S48" s="22">
        <v>80056.05547932224</v>
      </c>
      <c r="U48" s="23">
        <v>0.86</v>
      </c>
      <c r="V48" s="125">
        <v>52049.112281152062</v>
      </c>
      <c r="W48" s="125">
        <v>100317.57885749375</v>
      </c>
      <c r="X48" s="125">
        <v>107153.773277124</v>
      </c>
      <c r="Y48" s="22">
        <v>108359.60522037793</v>
      </c>
      <c r="AA48" s="23">
        <v>0.86</v>
      </c>
      <c r="AB48" s="125">
        <v>65061.390351440074</v>
      </c>
      <c r="AC48" s="125">
        <v>125694.29596948235</v>
      </c>
      <c r="AD48" s="125">
        <v>135019.15320833653</v>
      </c>
      <c r="AE48" s="22">
        <v>136663.15496143364</v>
      </c>
      <c r="AG48" s="23">
        <v>0.86</v>
      </c>
      <c r="AH48" s="125">
        <v>78073.668421728085</v>
      </c>
      <c r="AI48" s="125">
        <v>151071.01308147094</v>
      </c>
      <c r="AJ48" s="125">
        <v>162884.53313954908</v>
      </c>
      <c r="AK48" s="22">
        <v>164966.70470248934</v>
      </c>
      <c r="AM48" s="23">
        <v>0.86</v>
      </c>
      <c r="AN48" s="125">
        <v>91085.946492016097</v>
      </c>
      <c r="AO48" s="125">
        <v>176447.73019345955</v>
      </c>
      <c r="AP48" s="125">
        <v>190749.91307076166</v>
      </c>
      <c r="AQ48" s="22">
        <v>193270.25444354504</v>
      </c>
      <c r="AS48" s="154">
        <v>0.88</v>
      </c>
      <c r="AT48">
        <v>27980.251111111102</v>
      </c>
      <c r="AU48">
        <v>51237.304777600002</v>
      </c>
      <c r="AV48">
        <v>53391.518862494697</v>
      </c>
      <c r="AW48" s="22">
        <v>53361.622591294697</v>
      </c>
      <c r="AY48" s="154">
        <v>0.88</v>
      </c>
      <c r="AZ48">
        <v>55960.502222222203</v>
      </c>
      <c r="BA48">
        <v>103396.47509760001</v>
      </c>
      <c r="BB48">
        <v>110077.98462064999</v>
      </c>
      <c r="BC48">
        <v>111276.50189441199</v>
      </c>
      <c r="BD48" s="22">
        <v>111243.869352012</v>
      </c>
      <c r="BF48" s="154">
        <v>0.88</v>
      </c>
      <c r="BG48">
        <v>83940.753333333298</v>
      </c>
      <c r="BH48">
        <v>155555.6454176</v>
      </c>
      <c r="BI48">
        <v>167103.82211866099</v>
      </c>
      <c r="BJ48">
        <v>169161.484926331</v>
      </c>
      <c r="BK48" s="22">
        <v>169126.11611273099</v>
      </c>
      <c r="BM48" s="154">
        <v>0.88</v>
      </c>
      <c r="BN48">
        <v>52239.851883765157</v>
      </c>
      <c r="BO48">
        <v>52558.423941147914</v>
      </c>
      <c r="BP48">
        <v>50442.542431703929</v>
      </c>
      <c r="BQ48" s="22">
        <v>26555.627203433331</v>
      </c>
      <c r="BS48" s="154">
        <v>0.88</v>
      </c>
      <c r="BT48">
        <v>108545.56452258496</v>
      </c>
      <c r="BU48">
        <v>109727.83808014321</v>
      </c>
      <c r="BV48">
        <v>101842.54544263706</v>
      </c>
      <c r="BW48" s="22">
        <v>53111.254406866661</v>
      </c>
      <c r="BY48" s="154">
        <v>0.88</v>
      </c>
      <c r="BZ48">
        <v>164851.27716140478</v>
      </c>
      <c r="CA48">
        <v>166897.25221913849</v>
      </c>
      <c r="CB48">
        <v>153242.5484535702</v>
      </c>
      <c r="CC48" s="22">
        <v>79666.881610299999</v>
      </c>
      <c r="DC48" s="198"/>
      <c r="DD48" s="198"/>
      <c r="DE48" s="198"/>
      <c r="DF48" s="198"/>
      <c r="DG48" s="198"/>
      <c r="FC48" s="22"/>
    </row>
    <row r="49" spans="3:159" x14ac:dyDescent="0.2">
      <c r="C49" s="23">
        <v>0.88</v>
      </c>
      <c r="D49" s="125">
        <v>11822.988479827372</v>
      </c>
      <c r="E49" s="125">
        <v>21068.970664262393</v>
      </c>
      <c r="F49" s="125">
        <v>23010.786187367692</v>
      </c>
      <c r="G49" s="22">
        <v>28303.549741055696</v>
      </c>
      <c r="H49" s="137"/>
      <c r="I49" s="23">
        <v>0.88</v>
      </c>
      <c r="J49" s="125">
        <v>26024.556140576031</v>
      </c>
      <c r="K49" s="125">
        <v>49564.144633516553</v>
      </c>
      <c r="L49" s="125">
        <v>51423.0134146989</v>
      </c>
      <c r="M49" s="22">
        <v>51752.505738266533</v>
      </c>
      <c r="O49" s="23">
        <v>0.88</v>
      </c>
      <c r="P49" s="125">
        <v>39036.834210864043</v>
      </c>
      <c r="Q49" s="125">
        <v>74940.861745505157</v>
      </c>
      <c r="R49" s="125">
        <v>79288.393345911434</v>
      </c>
      <c r="S49" s="22">
        <v>80056.05547932224</v>
      </c>
      <c r="U49" s="23">
        <v>0.88</v>
      </c>
      <c r="V49" s="125">
        <v>52049.112281152062</v>
      </c>
      <c r="W49" s="125">
        <v>100317.57885749375</v>
      </c>
      <c r="X49" s="125">
        <v>107153.773277124</v>
      </c>
      <c r="Y49" s="22">
        <v>108359.60522037793</v>
      </c>
      <c r="AA49" s="23">
        <v>0.88</v>
      </c>
      <c r="AB49" s="125">
        <v>65061.390351440074</v>
      </c>
      <c r="AC49" s="125">
        <v>125694.29596948235</v>
      </c>
      <c r="AD49" s="125">
        <v>135019.15320833653</v>
      </c>
      <c r="AE49" s="22">
        <v>136663.15496143364</v>
      </c>
      <c r="AG49" s="23">
        <v>0.88</v>
      </c>
      <c r="AH49" s="125">
        <v>78073.668421728085</v>
      </c>
      <c r="AI49" s="125">
        <v>151071.01308147094</v>
      </c>
      <c r="AJ49" s="125">
        <v>162884.53313954908</v>
      </c>
      <c r="AK49" s="22">
        <v>164966.70470248934</v>
      </c>
      <c r="AM49" s="23">
        <v>0.88</v>
      </c>
      <c r="AN49" s="125">
        <v>91085.946492016097</v>
      </c>
      <c r="AO49" s="125">
        <v>176447.73019345955</v>
      </c>
      <c r="AP49" s="125">
        <v>190749.91307076166</v>
      </c>
      <c r="AQ49" s="22">
        <v>193270.25444354504</v>
      </c>
      <c r="AS49" s="154">
        <v>0.9</v>
      </c>
      <c r="AT49">
        <v>26024.999999999902</v>
      </c>
      <c r="AU49">
        <v>49810.623068000001</v>
      </c>
      <c r="AV49">
        <v>52015.001109369601</v>
      </c>
      <c r="AW49" s="22">
        <v>51998.920883369603</v>
      </c>
      <c r="AY49" s="154">
        <v>0.9</v>
      </c>
      <c r="AZ49">
        <v>52049.999999999898</v>
      </c>
      <c r="BA49">
        <v>100564.06316799999</v>
      </c>
      <c r="BB49">
        <v>107400.25155412</v>
      </c>
      <c r="BC49">
        <v>108624.386028376</v>
      </c>
      <c r="BD49" s="22">
        <v>108606.02557637601</v>
      </c>
      <c r="BF49" s="154">
        <v>0.9</v>
      </c>
      <c r="BG49">
        <v>78074.999999999898</v>
      </c>
      <c r="BH49">
        <v>151317.503268</v>
      </c>
      <c r="BI49">
        <v>163131.016727676</v>
      </c>
      <c r="BJ49">
        <v>165233.77094738401</v>
      </c>
      <c r="BK49" s="22">
        <v>165213.13026938401</v>
      </c>
      <c r="BM49" s="154">
        <v>0.9</v>
      </c>
      <c r="BN49">
        <v>51669.481078430726</v>
      </c>
      <c r="BO49">
        <v>51998.915676931589</v>
      </c>
      <c r="BP49">
        <v>49810.617226700233</v>
      </c>
      <c r="BQ49" s="22">
        <v>26024.556140576031</v>
      </c>
      <c r="BS49" s="154">
        <v>0.9</v>
      </c>
      <c r="BT49">
        <v>107400.24094085583</v>
      </c>
      <c r="BU49">
        <v>108606.01515904297</v>
      </c>
      <c r="BV49">
        <v>100564.05145067742</v>
      </c>
      <c r="BW49" s="22">
        <v>52049.112281152062</v>
      </c>
      <c r="BY49" s="154">
        <v>0.9</v>
      </c>
      <c r="BZ49">
        <v>163131.00080328091</v>
      </c>
      <c r="CA49">
        <v>165213.11464115439</v>
      </c>
      <c r="CB49">
        <v>151317.48567465463</v>
      </c>
      <c r="CC49" s="22">
        <v>78073.668421728085</v>
      </c>
      <c r="DC49" s="198"/>
      <c r="DD49" s="198"/>
      <c r="DE49" s="198"/>
      <c r="DF49" s="198"/>
      <c r="DG49" s="198"/>
      <c r="FC49" s="22"/>
    </row>
    <row r="50" spans="3:159" x14ac:dyDescent="0.2">
      <c r="C50" s="23">
        <v>0.9</v>
      </c>
      <c r="D50" s="125">
        <v>11822.988479827372</v>
      </c>
      <c r="E50" s="125">
        <v>21068.970664262393</v>
      </c>
      <c r="F50" s="125">
        <v>23010.786187367692</v>
      </c>
      <c r="G50" s="22">
        <v>28303.549741055696</v>
      </c>
      <c r="H50" s="137"/>
      <c r="I50" s="23">
        <v>0.9</v>
      </c>
      <c r="J50" s="125">
        <v>26024.556140576031</v>
      </c>
      <c r="K50" s="125">
        <v>49564.144633516553</v>
      </c>
      <c r="L50" s="125">
        <v>51423.0134146989</v>
      </c>
      <c r="M50" s="22">
        <v>51752.505738266533</v>
      </c>
      <c r="O50" s="23">
        <v>0.9</v>
      </c>
      <c r="P50" s="125">
        <v>39036.834210864043</v>
      </c>
      <c r="Q50" s="125">
        <v>74940.861745505157</v>
      </c>
      <c r="R50" s="125">
        <v>79288.393345911434</v>
      </c>
      <c r="S50" s="22">
        <v>80056.05547932224</v>
      </c>
      <c r="U50" s="23">
        <v>0.9</v>
      </c>
      <c r="V50" s="125">
        <v>52049.112281152062</v>
      </c>
      <c r="W50" s="125">
        <v>100317.57885749375</v>
      </c>
      <c r="X50" s="125">
        <v>107153.773277124</v>
      </c>
      <c r="Y50" s="22">
        <v>108359.60522037793</v>
      </c>
      <c r="AA50" s="23">
        <v>0.9</v>
      </c>
      <c r="AB50" s="125">
        <v>65061.390351440074</v>
      </c>
      <c r="AC50" s="125">
        <v>125694.29596948235</v>
      </c>
      <c r="AD50" s="125">
        <v>135019.15320833653</v>
      </c>
      <c r="AE50" s="22">
        <v>136663.15496143364</v>
      </c>
      <c r="AG50" s="23">
        <v>0.9</v>
      </c>
      <c r="AH50" s="125">
        <v>78073.668421728085</v>
      </c>
      <c r="AI50" s="125">
        <v>151071.01308147094</v>
      </c>
      <c r="AJ50" s="125">
        <v>162884.53313954908</v>
      </c>
      <c r="AK50" s="22">
        <v>164966.70470248934</v>
      </c>
      <c r="AM50" s="23">
        <v>0.9</v>
      </c>
      <c r="AN50" s="125">
        <v>91085.946492016097</v>
      </c>
      <c r="AO50" s="125">
        <v>176447.73019345955</v>
      </c>
      <c r="AP50" s="125">
        <v>190749.91307076166</v>
      </c>
      <c r="AQ50" s="22">
        <v>193270.25444354504</v>
      </c>
      <c r="AS50" s="154">
        <v>0.92</v>
      </c>
      <c r="AT50">
        <v>24069.7488888888</v>
      </c>
      <c r="AU50">
        <v>48383.941358399898</v>
      </c>
      <c r="AV50">
        <v>50638.483356244498</v>
      </c>
      <c r="AW50" s="22">
        <v>50636.219175444501</v>
      </c>
      <c r="AY50" s="154">
        <v>0.92</v>
      </c>
      <c r="AZ50">
        <v>48139.497777777702</v>
      </c>
      <c r="BA50">
        <v>97731.651238399994</v>
      </c>
      <c r="BB50">
        <v>104722.518487589</v>
      </c>
      <c r="BC50">
        <v>105972.27016234001</v>
      </c>
      <c r="BD50" s="22">
        <v>105968.18180074</v>
      </c>
      <c r="BF50" s="154">
        <v>0.92</v>
      </c>
      <c r="BG50">
        <v>72209.246666666601</v>
      </c>
      <c r="BH50">
        <v>147079.36111839901</v>
      </c>
      <c r="BI50">
        <v>159158.21133669099</v>
      </c>
      <c r="BJ50">
        <v>161306.05696843701</v>
      </c>
      <c r="BK50" s="22">
        <v>161300.144426037</v>
      </c>
      <c r="BM50" s="154">
        <v>0.92</v>
      </c>
      <c r="BN50">
        <v>51099.110273096296</v>
      </c>
      <c r="BO50">
        <v>51439.407412715271</v>
      </c>
      <c r="BP50">
        <v>49178.692021696545</v>
      </c>
      <c r="BQ50" s="22">
        <v>25493.485077718728</v>
      </c>
      <c r="BS50" s="154">
        <v>0.92</v>
      </c>
      <c r="BT50">
        <v>106254.9173591267</v>
      </c>
      <c r="BU50">
        <v>107484.19223794279</v>
      </c>
      <c r="BV50">
        <v>99285.557458717783</v>
      </c>
      <c r="BW50" s="22">
        <v>50986.970155437455</v>
      </c>
      <c r="BY50" s="154">
        <v>0.92</v>
      </c>
      <c r="BZ50">
        <v>161410.7244451571</v>
      </c>
      <c r="CA50">
        <v>163528.97706317028</v>
      </c>
      <c r="CB50">
        <v>149392.42289573903</v>
      </c>
      <c r="CC50" s="22">
        <v>76480.455233156186</v>
      </c>
      <c r="DC50" s="198"/>
      <c r="DD50" s="198"/>
      <c r="DE50" s="198"/>
      <c r="DF50" s="198"/>
      <c r="DG50" s="198"/>
      <c r="FC50" s="22"/>
    </row>
    <row r="51" spans="3:159" x14ac:dyDescent="0.2">
      <c r="C51" s="23">
        <v>0.92</v>
      </c>
      <c r="D51" s="125">
        <v>11822.988479827372</v>
      </c>
      <c r="E51" s="125">
        <v>21068.970664262393</v>
      </c>
      <c r="F51" s="125">
        <v>23010.786187367692</v>
      </c>
      <c r="G51" s="22">
        <v>28303.549741055696</v>
      </c>
      <c r="H51" s="137"/>
      <c r="I51" s="23">
        <v>0.92</v>
      </c>
      <c r="J51" s="125">
        <v>26024.556140576031</v>
      </c>
      <c r="K51" s="125">
        <v>49564.144633516553</v>
      </c>
      <c r="L51" s="125">
        <v>51423.0134146989</v>
      </c>
      <c r="M51" s="22">
        <v>51752.505738266533</v>
      </c>
      <c r="O51" s="23">
        <v>0.92</v>
      </c>
      <c r="P51" s="125">
        <v>39036.834210864043</v>
      </c>
      <c r="Q51" s="125">
        <v>74940.861745505157</v>
      </c>
      <c r="R51" s="125">
        <v>79288.393345911434</v>
      </c>
      <c r="S51" s="22">
        <v>80056.05547932224</v>
      </c>
      <c r="U51" s="23">
        <v>0.92</v>
      </c>
      <c r="V51" s="125">
        <v>52049.112281152062</v>
      </c>
      <c r="W51" s="125">
        <v>100317.57885749375</v>
      </c>
      <c r="X51" s="125">
        <v>107153.773277124</v>
      </c>
      <c r="Y51" s="22">
        <v>108359.60522037793</v>
      </c>
      <c r="AA51" s="23">
        <v>0.92</v>
      </c>
      <c r="AB51" s="125">
        <v>65061.390351440074</v>
      </c>
      <c r="AC51" s="125">
        <v>125694.29596948235</v>
      </c>
      <c r="AD51" s="125">
        <v>135019.15320833653</v>
      </c>
      <c r="AE51" s="22">
        <v>136663.15496143364</v>
      </c>
      <c r="AG51" s="23">
        <v>0.92</v>
      </c>
      <c r="AH51" s="125">
        <v>78073.668421728085</v>
      </c>
      <c r="AI51" s="125">
        <v>151071.01308147094</v>
      </c>
      <c r="AJ51" s="125">
        <v>162884.53313954908</v>
      </c>
      <c r="AK51" s="22">
        <v>164966.70470248934</v>
      </c>
      <c r="AM51" s="23">
        <v>0.92</v>
      </c>
      <c r="AN51" s="125">
        <v>91085.946492016097</v>
      </c>
      <c r="AO51" s="125">
        <v>176447.73019345955</v>
      </c>
      <c r="AP51" s="125">
        <v>190749.91307076166</v>
      </c>
      <c r="AQ51" s="22">
        <v>193270.25444354504</v>
      </c>
      <c r="AS51" s="154">
        <v>0.94</v>
      </c>
      <c r="AT51">
        <v>22114.497777777699</v>
      </c>
      <c r="AU51">
        <v>46957.259648799998</v>
      </c>
      <c r="AV51">
        <v>49261.965603119403</v>
      </c>
      <c r="AW51" s="22">
        <v>49273.517467519399</v>
      </c>
      <c r="AY51" s="154">
        <v>0.94</v>
      </c>
      <c r="AZ51">
        <v>44228.995555555499</v>
      </c>
      <c r="BA51">
        <v>94899.239308799995</v>
      </c>
      <c r="BB51">
        <v>102044.785421059</v>
      </c>
      <c r="BC51">
        <v>103320.154296304</v>
      </c>
      <c r="BD51" s="22">
        <v>103330.33802510401</v>
      </c>
      <c r="BF51" s="154">
        <v>0.94</v>
      </c>
      <c r="BG51">
        <v>66343.493333333303</v>
      </c>
      <c r="BH51">
        <v>142841.21896879899</v>
      </c>
      <c r="BI51">
        <v>155185.40594570601</v>
      </c>
      <c r="BJ51">
        <v>157378.34298948999</v>
      </c>
      <c r="BK51" s="22">
        <v>157387.15858269</v>
      </c>
      <c r="BM51" s="154">
        <v>0.94</v>
      </c>
      <c r="BN51">
        <v>50528.739467761887</v>
      </c>
      <c r="BO51">
        <v>50879.89914849896</v>
      </c>
      <c r="BP51">
        <v>48546.766816692863</v>
      </c>
      <c r="BQ51" s="22">
        <v>24962.414014861424</v>
      </c>
      <c r="BS51" s="154">
        <v>0.94</v>
      </c>
      <c r="BT51">
        <v>105109.59377739759</v>
      </c>
      <c r="BU51">
        <v>106362.36931684258</v>
      </c>
      <c r="BV51">
        <v>98007.063466758162</v>
      </c>
      <c r="BW51" s="22">
        <v>49924.828029722848</v>
      </c>
      <c r="BY51" s="154">
        <v>0.94</v>
      </c>
      <c r="BZ51">
        <v>159690.44808703332</v>
      </c>
      <c r="CA51">
        <v>161844.83948518621</v>
      </c>
      <c r="CB51">
        <v>147467.36011682346</v>
      </c>
      <c r="CC51" s="22">
        <v>74887.242044584273</v>
      </c>
      <c r="DC51" s="198"/>
      <c r="DD51" s="198"/>
      <c r="DE51" s="198"/>
      <c r="DF51" s="198"/>
      <c r="DG51" s="198"/>
      <c r="FC51" s="22"/>
    </row>
    <row r="52" spans="3:159" x14ac:dyDescent="0.2">
      <c r="C52" s="23">
        <v>0.94</v>
      </c>
      <c r="D52" s="125">
        <v>11822.988479827372</v>
      </c>
      <c r="E52" s="125">
        <v>21068.970664262393</v>
      </c>
      <c r="F52" s="125">
        <v>23010.786187367692</v>
      </c>
      <c r="G52" s="22">
        <v>28303.549741055696</v>
      </c>
      <c r="H52" s="137"/>
      <c r="I52" s="23">
        <v>0.94</v>
      </c>
      <c r="J52" s="125">
        <v>26024.556140576031</v>
      </c>
      <c r="K52" s="125">
        <v>49564.144633516553</v>
      </c>
      <c r="L52" s="125">
        <v>51423.0134146989</v>
      </c>
      <c r="M52" s="22">
        <v>51752.505738266533</v>
      </c>
      <c r="O52" s="23">
        <v>0.94</v>
      </c>
      <c r="P52" s="125">
        <v>39036.834210864043</v>
      </c>
      <c r="Q52" s="125">
        <v>74940.861745505157</v>
      </c>
      <c r="R52" s="125">
        <v>79288.393345911434</v>
      </c>
      <c r="S52" s="22">
        <v>80056.05547932224</v>
      </c>
      <c r="U52" s="23">
        <v>0.94</v>
      </c>
      <c r="V52" s="125">
        <v>52049.112281152062</v>
      </c>
      <c r="W52" s="125">
        <v>100317.57885749375</v>
      </c>
      <c r="X52" s="125">
        <v>107153.773277124</v>
      </c>
      <c r="Y52" s="22">
        <v>108359.60522037793</v>
      </c>
      <c r="AA52" s="23">
        <v>0.94</v>
      </c>
      <c r="AB52" s="125">
        <v>65061.390351440074</v>
      </c>
      <c r="AC52" s="125">
        <v>125694.29596948235</v>
      </c>
      <c r="AD52" s="125">
        <v>135019.15320833653</v>
      </c>
      <c r="AE52" s="22">
        <v>136663.15496143364</v>
      </c>
      <c r="AG52" s="23">
        <v>0.94</v>
      </c>
      <c r="AH52" s="125">
        <v>78073.668421728085</v>
      </c>
      <c r="AI52" s="125">
        <v>151071.01308147094</v>
      </c>
      <c r="AJ52" s="125">
        <v>162884.53313954908</v>
      </c>
      <c r="AK52" s="22">
        <v>164966.70470248934</v>
      </c>
      <c r="AM52" s="23">
        <v>0.94</v>
      </c>
      <c r="AN52" s="125">
        <v>91085.946492016097</v>
      </c>
      <c r="AO52" s="125">
        <v>176447.73019345955</v>
      </c>
      <c r="AP52" s="125">
        <v>190749.91307076166</v>
      </c>
      <c r="AQ52" s="22">
        <v>193270.25444354504</v>
      </c>
      <c r="AS52" s="154">
        <v>0.96</v>
      </c>
      <c r="AT52">
        <v>20159.246666666601</v>
      </c>
      <c r="AU52">
        <v>45530.577939199997</v>
      </c>
      <c r="AV52">
        <v>47885.447849994198</v>
      </c>
      <c r="AW52" s="22">
        <v>47910.815759594203</v>
      </c>
      <c r="AY52" s="154">
        <v>0.96</v>
      </c>
      <c r="AZ52">
        <v>40318.493333333303</v>
      </c>
      <c r="BA52">
        <v>92066.827379199996</v>
      </c>
      <c r="BB52">
        <v>99367.052354528307</v>
      </c>
      <c r="BC52">
        <v>100668.038430268</v>
      </c>
      <c r="BD52" s="22">
        <v>100692.494249468</v>
      </c>
      <c r="BF52" s="154">
        <v>0.96</v>
      </c>
      <c r="BG52">
        <v>60477.74</v>
      </c>
      <c r="BH52">
        <v>138603.07681919899</v>
      </c>
      <c r="BI52">
        <v>151212.60055472099</v>
      </c>
      <c r="BJ52">
        <v>153450.62901054299</v>
      </c>
      <c r="BK52" s="22">
        <v>153474.17273934299</v>
      </c>
      <c r="BM52" s="154">
        <v>0.96</v>
      </c>
      <c r="BN52">
        <v>49958.368662427463</v>
      </c>
      <c r="BO52">
        <v>50320.390884282649</v>
      </c>
      <c r="BP52">
        <v>47914.841611689168</v>
      </c>
      <c r="BQ52" s="22">
        <v>24431.342952004121</v>
      </c>
      <c r="BS52" s="154">
        <v>0.96</v>
      </c>
      <c r="BT52">
        <v>103964.27019566848</v>
      </c>
      <c r="BU52">
        <v>105240.54639574238</v>
      </c>
      <c r="BV52">
        <v>96728.569474798525</v>
      </c>
      <c r="BW52" s="22">
        <v>48862.685904008242</v>
      </c>
      <c r="BY52" s="154">
        <v>0.96</v>
      </c>
      <c r="BZ52">
        <v>157970.17172890948</v>
      </c>
      <c r="CA52">
        <v>160160.70190720211</v>
      </c>
      <c r="CB52">
        <v>145542.29733790786</v>
      </c>
      <c r="CC52" s="22">
        <v>73294.028856012374</v>
      </c>
      <c r="DC52" s="198"/>
      <c r="DD52" s="198"/>
      <c r="DE52" s="198"/>
      <c r="DF52" s="198"/>
      <c r="DG52" s="198"/>
      <c r="FC52" s="22"/>
    </row>
    <row r="53" spans="3:159" x14ac:dyDescent="0.2">
      <c r="C53" s="23">
        <v>0.96</v>
      </c>
      <c r="D53" s="125">
        <v>11822.988479827372</v>
      </c>
      <c r="E53" s="125">
        <v>21068.970664262393</v>
      </c>
      <c r="F53" s="125">
        <v>23010.786187367692</v>
      </c>
      <c r="G53" s="22">
        <v>28303.549741055696</v>
      </c>
      <c r="H53" s="137"/>
      <c r="I53" s="23">
        <v>0.96</v>
      </c>
      <c r="J53" s="125">
        <v>26024.556140576031</v>
      </c>
      <c r="K53" s="125">
        <v>49564.144633516553</v>
      </c>
      <c r="L53" s="125">
        <v>51423.0134146989</v>
      </c>
      <c r="M53" s="22">
        <v>51752.505738266533</v>
      </c>
      <c r="O53" s="23">
        <v>0.96</v>
      </c>
      <c r="P53" s="125">
        <v>39036.834210864043</v>
      </c>
      <c r="Q53" s="125">
        <v>74940.861745505157</v>
      </c>
      <c r="R53" s="125">
        <v>79288.393345911434</v>
      </c>
      <c r="S53" s="22">
        <v>80056.05547932224</v>
      </c>
      <c r="U53" s="23">
        <v>0.96</v>
      </c>
      <c r="V53" s="125">
        <v>52049.112281152062</v>
      </c>
      <c r="W53" s="125">
        <v>100317.57885749375</v>
      </c>
      <c r="X53" s="125">
        <v>107153.773277124</v>
      </c>
      <c r="Y53" s="22">
        <v>108359.60522037793</v>
      </c>
      <c r="AA53" s="23">
        <v>0.96</v>
      </c>
      <c r="AB53" s="125">
        <v>65061.390351440074</v>
      </c>
      <c r="AC53" s="125">
        <v>125694.29596948235</v>
      </c>
      <c r="AD53" s="125">
        <v>135019.15320833653</v>
      </c>
      <c r="AE53" s="22">
        <v>136663.15496143364</v>
      </c>
      <c r="AG53" s="23">
        <v>0.96</v>
      </c>
      <c r="AH53" s="125">
        <v>78073.668421728085</v>
      </c>
      <c r="AI53" s="125">
        <v>151071.01308147094</v>
      </c>
      <c r="AJ53" s="125">
        <v>162884.53313954908</v>
      </c>
      <c r="AK53" s="22">
        <v>164966.70470248934</v>
      </c>
      <c r="AM53" s="23">
        <v>0.96</v>
      </c>
      <c r="AN53" s="125">
        <v>91085.946492016097</v>
      </c>
      <c r="AO53" s="125">
        <v>176447.73019345955</v>
      </c>
      <c r="AP53" s="125">
        <v>190749.91307076166</v>
      </c>
      <c r="AQ53" s="22">
        <v>193270.25444354504</v>
      </c>
      <c r="AS53" s="154">
        <v>0.98</v>
      </c>
      <c r="AT53">
        <v>18203.995555555499</v>
      </c>
      <c r="AU53">
        <v>44103.896229599901</v>
      </c>
      <c r="AV53">
        <v>46508.930096869102</v>
      </c>
      <c r="AW53" s="22">
        <v>46548.114051669101</v>
      </c>
      <c r="AY53" s="154">
        <v>0.98</v>
      </c>
      <c r="AZ53">
        <v>36407.9911111111</v>
      </c>
      <c r="BA53">
        <v>89234.415449599896</v>
      </c>
      <c r="BB53">
        <v>96689.319287997598</v>
      </c>
      <c r="BC53">
        <v>98015.922564232504</v>
      </c>
      <c r="BD53" s="22">
        <v>98054.650473832502</v>
      </c>
      <c r="BF53" s="154">
        <v>0.98</v>
      </c>
      <c r="BG53">
        <v>54611.986666666598</v>
      </c>
      <c r="BH53">
        <v>134364.934669599</v>
      </c>
      <c r="BI53">
        <v>147239.79516373601</v>
      </c>
      <c r="BJ53">
        <v>149522.91503159501</v>
      </c>
      <c r="BK53" s="22">
        <v>149561.18689599499</v>
      </c>
      <c r="BM53" s="154">
        <v>0.98</v>
      </c>
      <c r="BN53">
        <v>49387.99785709304</v>
      </c>
      <c r="BO53">
        <v>49760.882620066332</v>
      </c>
      <c r="BP53">
        <v>47282.916406685494</v>
      </c>
      <c r="BQ53" s="22">
        <v>23900.271889146821</v>
      </c>
      <c r="BS53" s="154">
        <v>0.98</v>
      </c>
      <c r="BT53">
        <v>102818.94661393936</v>
      </c>
      <c r="BU53">
        <v>104118.72347464217</v>
      </c>
      <c r="BV53">
        <v>95450.075482838918</v>
      </c>
      <c r="BW53" s="22">
        <v>47800.543778293642</v>
      </c>
      <c r="BY53" s="154">
        <v>0.98</v>
      </c>
      <c r="BZ53">
        <v>156249.89537078564</v>
      </c>
      <c r="CA53">
        <v>158476.564329218</v>
      </c>
      <c r="CB53">
        <v>143617.23455899232</v>
      </c>
      <c r="CC53" s="22">
        <v>71700.81566744046</v>
      </c>
      <c r="DC53" s="198"/>
      <c r="DD53" s="198"/>
      <c r="DE53" s="198"/>
      <c r="DF53" s="198"/>
      <c r="DG53" s="198"/>
      <c r="FC53" s="22"/>
    </row>
    <row r="54" spans="3:159" ht="17" thickBot="1" x14ac:dyDescent="0.25">
      <c r="C54" s="23">
        <v>0.98</v>
      </c>
      <c r="D54" s="125">
        <v>11822.988479827372</v>
      </c>
      <c r="E54" s="125">
        <v>21068.970664262393</v>
      </c>
      <c r="F54" s="125">
        <v>23010.786187367692</v>
      </c>
      <c r="G54" s="22">
        <v>28303.549741055696</v>
      </c>
      <c r="H54" s="137"/>
      <c r="I54" s="23">
        <v>0.98</v>
      </c>
      <c r="J54" s="125">
        <v>26024.556140576031</v>
      </c>
      <c r="K54" s="125">
        <v>49564.144633516553</v>
      </c>
      <c r="L54" s="125">
        <v>51423.0134146989</v>
      </c>
      <c r="M54" s="22">
        <v>51752.505738266533</v>
      </c>
      <c r="O54" s="23">
        <v>0.98</v>
      </c>
      <c r="P54" s="125">
        <v>39036.834210864043</v>
      </c>
      <c r="Q54" s="125">
        <v>74940.861745505157</v>
      </c>
      <c r="R54" s="125">
        <v>79288.393345911434</v>
      </c>
      <c r="S54" s="22">
        <v>80056.05547932224</v>
      </c>
      <c r="U54" s="23">
        <v>0.98</v>
      </c>
      <c r="V54" s="125">
        <v>52049.112281152062</v>
      </c>
      <c r="W54" s="125">
        <v>100317.57885749375</v>
      </c>
      <c r="X54" s="125">
        <v>107153.773277124</v>
      </c>
      <c r="Y54" s="22">
        <v>108359.60522037793</v>
      </c>
      <c r="AA54" s="23">
        <v>0.98</v>
      </c>
      <c r="AB54" s="125">
        <v>65061.390351440074</v>
      </c>
      <c r="AC54" s="125">
        <v>125694.29596948235</v>
      </c>
      <c r="AD54" s="125">
        <v>135019.15320833653</v>
      </c>
      <c r="AE54" s="22">
        <v>136663.15496143364</v>
      </c>
      <c r="AG54" s="23">
        <v>0.98</v>
      </c>
      <c r="AH54" s="125">
        <v>78073.668421728085</v>
      </c>
      <c r="AI54" s="125">
        <v>151071.01308147094</v>
      </c>
      <c r="AJ54" s="125">
        <v>162884.53313954908</v>
      </c>
      <c r="AK54" s="22">
        <v>164966.70470248934</v>
      </c>
      <c r="AM54" s="23">
        <v>0.98</v>
      </c>
      <c r="AN54" s="125">
        <v>91085.946492016097</v>
      </c>
      <c r="AO54" s="125">
        <v>176447.73019345955</v>
      </c>
      <c r="AP54" s="125">
        <v>190749.91307076166</v>
      </c>
      <c r="AQ54" s="22">
        <v>193270.25444354504</v>
      </c>
      <c r="AS54" s="155">
        <v>1</v>
      </c>
      <c r="AT54" s="31">
        <v>16248.744444444401</v>
      </c>
      <c r="AU54" s="31">
        <v>42677.214519999899</v>
      </c>
      <c r="AV54" s="31">
        <v>45132.412343743999</v>
      </c>
      <c r="AW54" s="29">
        <v>45185.412343743999</v>
      </c>
      <c r="AY54" s="155">
        <v>1</v>
      </c>
      <c r="AZ54" s="31">
        <v>32497.488888888802</v>
      </c>
      <c r="BA54" s="31">
        <v>86402.003519999998</v>
      </c>
      <c r="BB54" s="31">
        <v>94011.586221467005</v>
      </c>
      <c r="BC54" s="31">
        <v>95363.806698196393</v>
      </c>
      <c r="BD54" s="29">
        <v>95416.806698196393</v>
      </c>
      <c r="BF54" s="155">
        <v>1</v>
      </c>
      <c r="BG54" s="31">
        <v>48746.233333333301</v>
      </c>
      <c r="BH54" s="31">
        <v>130126.79252</v>
      </c>
      <c r="BI54" s="31">
        <v>143266.989772751</v>
      </c>
      <c r="BJ54" s="31">
        <v>145595.20105264799</v>
      </c>
      <c r="BK54" s="29">
        <v>145648.20105264799</v>
      </c>
      <c r="BM54" s="155">
        <v>1</v>
      </c>
      <c r="BN54" s="31">
        <v>48817.627051758609</v>
      </c>
      <c r="BO54" s="31">
        <v>49201.374355849999</v>
      </c>
      <c r="BP54" s="31">
        <v>46650.991201681805</v>
      </c>
      <c r="BQ54" s="29">
        <v>23369.200826289514</v>
      </c>
      <c r="BS54" s="155">
        <v>1</v>
      </c>
      <c r="BT54" s="31">
        <v>101673.62303221022</v>
      </c>
      <c r="BU54" s="31">
        <v>102996.90055354194</v>
      </c>
      <c r="BV54" s="31">
        <v>94171.581490879267</v>
      </c>
      <c r="BW54" s="29">
        <v>46738.401652579028</v>
      </c>
      <c r="BY54" s="155">
        <v>1</v>
      </c>
      <c r="BZ54" s="31">
        <v>154529.61901266183</v>
      </c>
      <c r="CA54" s="31">
        <v>156792.4267512339</v>
      </c>
      <c r="CB54" s="31">
        <v>141692.17178007672</v>
      </c>
      <c r="CC54" s="29">
        <v>70107.602478868546</v>
      </c>
      <c r="DC54" s="198"/>
      <c r="DD54" s="198"/>
      <c r="DE54" s="198"/>
      <c r="DF54" s="198"/>
      <c r="DG54" s="198"/>
      <c r="FC54" s="29"/>
    </row>
    <row r="55" spans="3:159" ht="17" thickBot="1" x14ac:dyDescent="0.25">
      <c r="C55" s="26">
        <v>1</v>
      </c>
      <c r="D55" s="31">
        <v>11822.988479827372</v>
      </c>
      <c r="E55" s="31">
        <v>21068.970664262393</v>
      </c>
      <c r="F55" s="31">
        <v>23010.786187367692</v>
      </c>
      <c r="G55" s="29">
        <v>28303.549741055696</v>
      </c>
      <c r="H55" s="137"/>
      <c r="I55" s="26">
        <v>1</v>
      </c>
      <c r="J55" s="31">
        <v>26024.556140576031</v>
      </c>
      <c r="K55" s="31">
        <v>49564.144633516553</v>
      </c>
      <c r="L55" s="31">
        <v>51423.0134146989</v>
      </c>
      <c r="M55" s="29">
        <v>51752.505738266533</v>
      </c>
      <c r="O55" s="26">
        <v>1</v>
      </c>
      <c r="P55" s="31">
        <v>39036.834210864043</v>
      </c>
      <c r="Q55" s="31">
        <v>74940.861745505157</v>
      </c>
      <c r="R55" s="31">
        <v>79288.393345911434</v>
      </c>
      <c r="S55" s="29">
        <v>80056.05547932224</v>
      </c>
      <c r="U55" s="26">
        <v>1</v>
      </c>
      <c r="V55" s="31">
        <v>52049.112281152062</v>
      </c>
      <c r="W55" s="31">
        <v>100317.57885749375</v>
      </c>
      <c r="X55" s="31">
        <v>107153.773277124</v>
      </c>
      <c r="Y55" s="29">
        <v>108359.60522037793</v>
      </c>
      <c r="AA55" s="26">
        <v>1</v>
      </c>
      <c r="AB55" s="31">
        <v>65061.390351440074</v>
      </c>
      <c r="AC55" s="31">
        <v>125694.29596948235</v>
      </c>
      <c r="AD55" s="31">
        <v>135019.15320833653</v>
      </c>
      <c r="AE55" s="29">
        <v>136663.15496143364</v>
      </c>
      <c r="AG55" s="26">
        <v>1</v>
      </c>
      <c r="AH55" s="31">
        <v>78073.668421728085</v>
      </c>
      <c r="AI55" s="31">
        <v>151071.01308147094</v>
      </c>
      <c r="AJ55" s="31">
        <v>162884.53313954908</v>
      </c>
      <c r="AK55" s="29">
        <v>164966.70470248934</v>
      </c>
      <c r="AM55" s="26">
        <v>1</v>
      </c>
      <c r="AN55" s="31">
        <v>91085.946492016097</v>
      </c>
      <c r="AO55" s="31">
        <v>176447.73019345955</v>
      </c>
      <c r="AP55" s="31">
        <v>190749.91307076166</v>
      </c>
      <c r="AQ55" s="29">
        <v>193270.25444354504</v>
      </c>
    </row>
    <row r="57" spans="3:159" x14ac:dyDescent="0.2">
      <c r="AV57">
        <f>AV49-P49</f>
        <v>12978.166898505558</v>
      </c>
    </row>
    <row r="59" spans="3:159" x14ac:dyDescent="0.2">
      <c r="C59" s="23" t="s">
        <v>1</v>
      </c>
      <c r="D59" s="75">
        <f>p_sick</f>
        <v>0.9</v>
      </c>
    </row>
  </sheetData>
  <mergeCells count="41">
    <mergeCell ref="HM2:HQ2"/>
    <mergeCell ref="HS2:HW2"/>
    <mergeCell ref="HY2:IC2"/>
    <mergeCell ref="IE2:II2"/>
    <mergeCell ref="IK2:IO2"/>
    <mergeCell ref="GC2:GG2"/>
    <mergeCell ref="GI2:GM2"/>
    <mergeCell ref="GO2:GS2"/>
    <mergeCell ref="GU2:GY2"/>
    <mergeCell ref="HA2:HE2"/>
    <mergeCell ref="HG2:HK2"/>
    <mergeCell ref="ES2:EW2"/>
    <mergeCell ref="EY2:FC2"/>
    <mergeCell ref="FE2:FI2"/>
    <mergeCell ref="FK2:FO2"/>
    <mergeCell ref="FQ2:FU2"/>
    <mergeCell ref="FW2:GA2"/>
    <mergeCell ref="DI2:DM2"/>
    <mergeCell ref="DO2:DS2"/>
    <mergeCell ref="DU2:DY2"/>
    <mergeCell ref="EA2:EE2"/>
    <mergeCell ref="EG2:EK2"/>
    <mergeCell ref="EM2:EQ2"/>
    <mergeCell ref="BY2:CC2"/>
    <mergeCell ref="CE2:CI2"/>
    <mergeCell ref="CK2:CO2"/>
    <mergeCell ref="CQ2:CU2"/>
    <mergeCell ref="CW2:DA2"/>
    <mergeCell ref="DC2:DG2"/>
    <mergeCell ref="AM2:AQ2"/>
    <mergeCell ref="AS2:AW2"/>
    <mergeCell ref="AY2:BD2"/>
    <mergeCell ref="BF2:BK2"/>
    <mergeCell ref="BM2:BQ2"/>
    <mergeCell ref="BS2:BW2"/>
    <mergeCell ref="I2:M2"/>
    <mergeCell ref="O2:S2"/>
    <mergeCell ref="U2:Y2"/>
    <mergeCell ref="C2:G2"/>
    <mergeCell ref="AA2:AE2"/>
    <mergeCell ref="AG2:A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7AA4-B535-E148-A332-1A2C12BB00E1}">
  <sheetPr>
    <tabColor theme="4" tint="0.59999389629810485"/>
  </sheetPr>
  <dimension ref="B3:DI27"/>
  <sheetViews>
    <sheetView tabSelected="1" zoomScale="75" zoomScaleNormal="85" workbookViewId="0">
      <selection activeCell="C5" sqref="C5"/>
    </sheetView>
  </sheetViews>
  <sheetFormatPr baseColWidth="10" defaultColWidth="8.83203125" defaultRowHeight="15" x14ac:dyDescent="0.2"/>
  <cols>
    <col min="1" max="1" width="8.83203125" style="156"/>
    <col min="2" max="2" width="10" style="156" customWidth="1"/>
    <col min="3" max="3" width="10.6640625" style="156" customWidth="1"/>
    <col min="4" max="4" width="10.33203125" style="156" customWidth="1"/>
    <col min="5" max="5" width="11.33203125" style="156" customWidth="1"/>
    <col min="6" max="16384" width="8.83203125" style="156"/>
  </cols>
  <sheetData>
    <row r="3" spans="2:113" ht="16" thickBot="1" x14ac:dyDescent="0.25">
      <c r="AD3" s="167" t="s">
        <v>212</v>
      </c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V3" s="174" t="s">
        <v>211</v>
      </c>
      <c r="AW3" s="174"/>
      <c r="AX3" s="174"/>
      <c r="AY3" s="174"/>
      <c r="AZ3" s="174"/>
      <c r="BD3" s="156" t="s">
        <v>210</v>
      </c>
    </row>
    <row r="4" spans="2:113" x14ac:dyDescent="0.2">
      <c r="B4" s="184" t="s">
        <v>209</v>
      </c>
      <c r="C4" s="183"/>
      <c r="D4" s="183"/>
      <c r="E4" s="183"/>
      <c r="F4" s="182"/>
      <c r="I4" s="181" t="s">
        <v>208</v>
      </c>
      <c r="J4" s="180"/>
      <c r="K4" s="180"/>
      <c r="L4" s="180"/>
      <c r="M4" s="180"/>
      <c r="N4" s="180"/>
      <c r="O4" s="179"/>
      <c r="Q4" s="178" t="s">
        <v>207</v>
      </c>
      <c r="R4" s="177"/>
      <c r="S4" s="177"/>
      <c r="T4" s="177"/>
      <c r="U4" s="177"/>
      <c r="V4" s="176"/>
      <c r="X4" s="175" t="s">
        <v>26</v>
      </c>
      <c r="Y4" s="168">
        <v>0</v>
      </c>
      <c r="Z4" s="168">
        <v>0.05</v>
      </c>
      <c r="AA4" s="168">
        <v>0.1</v>
      </c>
      <c r="AB4" s="168">
        <v>0.15</v>
      </c>
      <c r="AC4" s="168">
        <v>0.2</v>
      </c>
      <c r="AD4" s="168">
        <v>0.25</v>
      </c>
      <c r="AE4" s="168">
        <v>0.3</v>
      </c>
      <c r="AF4" s="168">
        <v>0.35</v>
      </c>
      <c r="AG4" s="168">
        <v>0.4</v>
      </c>
      <c r="AH4" s="168">
        <v>0.45</v>
      </c>
      <c r="AI4" s="168">
        <v>0.5</v>
      </c>
      <c r="AJ4" s="168">
        <v>0.55000000000000004</v>
      </c>
      <c r="AK4" s="168">
        <v>0.6</v>
      </c>
      <c r="AL4" s="168">
        <v>0.65</v>
      </c>
      <c r="AM4" s="168">
        <v>0.7</v>
      </c>
      <c r="AN4" s="168">
        <v>0.75</v>
      </c>
      <c r="AO4" s="168">
        <v>0.8</v>
      </c>
      <c r="AP4" s="168">
        <v>0.85</v>
      </c>
      <c r="AQ4" s="168">
        <v>0.9</v>
      </c>
      <c r="AR4" s="168">
        <v>0.95</v>
      </c>
      <c r="AS4" s="168">
        <v>1</v>
      </c>
      <c r="AV4" s="168">
        <v>1000</v>
      </c>
      <c r="AW4" s="168">
        <v>2000</v>
      </c>
      <c r="AX4" s="168">
        <v>3000</v>
      </c>
      <c r="AY4" s="168">
        <v>4000</v>
      </c>
      <c r="AZ4" s="168">
        <v>5000</v>
      </c>
      <c r="BA4" s="168">
        <v>6000</v>
      </c>
      <c r="BC4" s="156" t="s">
        <v>32</v>
      </c>
      <c r="BD4" s="156">
        <v>1000</v>
      </c>
      <c r="BE4" s="156">
        <v>2000</v>
      </c>
      <c r="BF4" s="156">
        <v>5000</v>
      </c>
      <c r="BG4" s="156">
        <v>10000</v>
      </c>
      <c r="BH4" s="156">
        <v>15000</v>
      </c>
      <c r="BI4" s="156">
        <v>20000</v>
      </c>
      <c r="BJ4" s="156">
        <v>25000</v>
      </c>
      <c r="BK4" s="156">
        <v>30000</v>
      </c>
      <c r="BL4" s="156">
        <v>35000</v>
      </c>
      <c r="BM4" s="156">
        <v>40000</v>
      </c>
      <c r="BN4" s="156">
        <v>50000</v>
      </c>
      <c r="BO4" s="156">
        <v>100000</v>
      </c>
      <c r="BT4" s="174" t="s">
        <v>206</v>
      </c>
      <c r="BU4" s="174"/>
      <c r="BV4" s="174"/>
      <c r="BW4" s="174"/>
      <c r="BX4" s="174"/>
      <c r="BY4" s="174"/>
      <c r="BZ4" s="174"/>
      <c r="CA4" s="174"/>
      <c r="CB4" s="174"/>
      <c r="CC4" s="174"/>
      <c r="CD4" s="174"/>
      <c r="CE4" s="174"/>
      <c r="CF4" s="174"/>
      <c r="CG4" s="174"/>
    </row>
    <row r="5" spans="2:113" x14ac:dyDescent="0.2">
      <c r="B5" s="173">
        <v>329.43459850086219</v>
      </c>
      <c r="C5" s="172">
        <v>5000</v>
      </c>
      <c r="D5" s="172">
        <v>10000</v>
      </c>
      <c r="E5" s="172">
        <v>20000</v>
      </c>
      <c r="F5" s="171">
        <v>30000</v>
      </c>
      <c r="I5" s="164">
        <v>329.43459850086219</v>
      </c>
      <c r="J5" s="166">
        <v>5000</v>
      </c>
      <c r="K5" s="166">
        <v>10000</v>
      </c>
      <c r="L5" s="166">
        <v>20000</v>
      </c>
      <c r="M5" s="166">
        <v>30000</v>
      </c>
      <c r="O5" s="161"/>
      <c r="Q5" s="164" t="s">
        <v>26</v>
      </c>
      <c r="R5" s="170">
        <v>2500</v>
      </c>
      <c r="S5" s="170">
        <v>5000</v>
      </c>
      <c r="T5" s="170">
        <v>10000</v>
      </c>
      <c r="U5" s="170">
        <v>20000</v>
      </c>
      <c r="V5" s="169">
        <v>30000</v>
      </c>
      <c r="X5" s="163">
        <v>0</v>
      </c>
      <c r="Y5" s="156" t="s">
        <v>26</v>
      </c>
      <c r="Z5" s="156" t="s">
        <v>26</v>
      </c>
      <c r="AA5" s="156" t="s">
        <v>26</v>
      </c>
      <c r="AB5" s="156" t="s">
        <v>26</v>
      </c>
      <c r="AC5" s="156" t="s">
        <v>26</v>
      </c>
      <c r="AD5" s="156" t="s">
        <v>26</v>
      </c>
      <c r="AE5" s="156" t="s">
        <v>26</v>
      </c>
      <c r="AF5" s="156" t="s">
        <v>26</v>
      </c>
      <c r="AG5" s="156" t="s">
        <v>26</v>
      </c>
      <c r="AH5" s="156" t="s">
        <v>26</v>
      </c>
      <c r="AI5" s="156" t="s">
        <v>26</v>
      </c>
      <c r="AJ5" s="156" t="s">
        <v>26</v>
      </c>
      <c r="AK5" s="156" t="s">
        <v>26</v>
      </c>
      <c r="AL5" s="156" t="s">
        <v>26</v>
      </c>
      <c r="AM5" s="156" t="s">
        <v>26</v>
      </c>
      <c r="AN5" s="156" t="s">
        <v>26</v>
      </c>
      <c r="AO5" s="156" t="s">
        <v>26</v>
      </c>
      <c r="AP5" s="156" t="s">
        <v>26</v>
      </c>
      <c r="AQ5" s="156" t="s">
        <v>26</v>
      </c>
      <c r="AR5" s="156" t="s">
        <v>26</v>
      </c>
      <c r="AS5" s="156" t="e">
        <v>#DIV/0!</v>
      </c>
      <c r="AU5" s="163">
        <v>0</v>
      </c>
      <c r="AV5" s="156" t="s">
        <v>32</v>
      </c>
      <c r="AW5" s="156" t="s">
        <v>32</v>
      </c>
      <c r="AX5" s="156" t="s">
        <v>32</v>
      </c>
      <c r="AY5" s="156" t="s">
        <v>32</v>
      </c>
      <c r="AZ5" s="156" t="s">
        <v>32</v>
      </c>
      <c r="BA5" s="156" t="s">
        <v>32</v>
      </c>
      <c r="BC5" s="156">
        <v>0</v>
      </c>
      <c r="BD5" s="168" t="s">
        <v>204</v>
      </c>
      <c r="BE5" s="168" t="s">
        <v>204</v>
      </c>
      <c r="BF5" s="168" t="s">
        <v>204</v>
      </c>
      <c r="BG5" s="168" t="s">
        <v>204</v>
      </c>
      <c r="BH5" s="168" t="s">
        <v>204</v>
      </c>
      <c r="BI5" s="168" t="s">
        <v>204</v>
      </c>
      <c r="BJ5" s="168" t="s">
        <v>204</v>
      </c>
      <c r="BK5" s="168" t="s">
        <v>204</v>
      </c>
      <c r="BL5" s="168" t="s">
        <v>204</v>
      </c>
      <c r="BM5" s="168" t="s">
        <v>204</v>
      </c>
      <c r="BN5" s="168" t="s">
        <v>204</v>
      </c>
      <c r="BO5" s="168" t="s">
        <v>204</v>
      </c>
      <c r="BQ5" s="156" t="s">
        <v>32</v>
      </c>
      <c r="BR5" s="156">
        <v>0</v>
      </c>
      <c r="BS5" s="156">
        <v>2.5000000000000001E-3</v>
      </c>
      <c r="BT5" s="156">
        <v>5.0000000000000001E-3</v>
      </c>
      <c r="BU5" s="156">
        <v>7.4999999999999997E-3</v>
      </c>
      <c r="BV5" s="156">
        <v>0.01</v>
      </c>
      <c r="BW5" s="156">
        <v>1.2500000000000001E-2</v>
      </c>
      <c r="BX5" s="156">
        <v>1.4999999999999999E-2</v>
      </c>
      <c r="BY5" s="156">
        <v>1.7500000000000002E-2</v>
      </c>
      <c r="BZ5" s="156">
        <v>0.02</v>
      </c>
      <c r="CA5" s="156">
        <v>2.2499999999999999E-2</v>
      </c>
      <c r="CB5" s="156">
        <v>2.5000000000000001E-2</v>
      </c>
      <c r="CC5" s="156">
        <v>2.75E-2</v>
      </c>
      <c r="CD5" s="156">
        <v>0.03</v>
      </c>
      <c r="CE5" s="156">
        <v>3.2500000000000001E-2</v>
      </c>
      <c r="CF5" s="156">
        <v>3.5000000000000003E-2</v>
      </c>
      <c r="CG5" s="156">
        <v>3.7499999999999999E-2</v>
      </c>
      <c r="CH5" s="156">
        <v>0.04</v>
      </c>
      <c r="CI5" s="156">
        <v>4.2500000000000003E-2</v>
      </c>
      <c r="CJ5" s="156">
        <v>4.4999999999999998E-2</v>
      </c>
      <c r="CK5" s="156">
        <v>4.7500000000000001E-2</v>
      </c>
      <c r="CL5" s="156">
        <v>0.05</v>
      </c>
      <c r="CQ5" s="167" t="s">
        <v>205</v>
      </c>
      <c r="CR5" s="167"/>
      <c r="CS5" s="167"/>
      <c r="CT5" s="167"/>
      <c r="CU5" s="167"/>
      <c r="CV5" s="167"/>
      <c r="CW5" s="167"/>
      <c r="CX5" s="167"/>
      <c r="CY5" s="167"/>
      <c r="CZ5" s="167"/>
      <c r="DA5" s="167"/>
      <c r="DB5" s="167"/>
      <c r="DC5" s="167"/>
    </row>
    <row r="6" spans="2:113" x14ac:dyDescent="0.2">
      <c r="B6" s="162">
        <v>0</v>
      </c>
      <c r="C6" s="166">
        <v>-33.319508110052993</v>
      </c>
      <c r="D6" s="166">
        <v>480.26600496532774</v>
      </c>
      <c r="E6" s="166">
        <v>1507.4370311160746</v>
      </c>
      <c r="F6" s="165">
        <v>2534.6080572667997</v>
      </c>
      <c r="I6" s="162">
        <v>0</v>
      </c>
      <c r="J6" s="156">
        <v>-111.53093418760545</v>
      </c>
      <c r="K6" s="156">
        <v>326.63887565553887</v>
      </c>
      <c r="L6" s="156">
        <v>1202.9784953418275</v>
      </c>
      <c r="M6" s="156">
        <v>2079.3181150281744</v>
      </c>
      <c r="O6" s="161"/>
      <c r="Q6" s="164">
        <v>0</v>
      </c>
      <c r="R6" s="156" t="s">
        <v>204</v>
      </c>
      <c r="S6" s="156" t="s">
        <v>204</v>
      </c>
      <c r="T6" s="156" t="s">
        <v>204</v>
      </c>
      <c r="U6" s="156" t="s">
        <v>204</v>
      </c>
      <c r="V6" s="161" t="s">
        <v>204</v>
      </c>
      <c r="X6" s="163">
        <v>0.05</v>
      </c>
      <c r="Y6" s="156" t="s">
        <v>26</v>
      </c>
      <c r="Z6" s="156" t="s">
        <v>26</v>
      </c>
      <c r="AA6" s="156" t="s">
        <v>26</v>
      </c>
      <c r="AB6" s="156" t="s">
        <v>26</v>
      </c>
      <c r="AC6" s="156" t="s">
        <v>26</v>
      </c>
      <c r="AD6" s="156" t="s">
        <v>26</v>
      </c>
      <c r="AE6" s="156" t="s">
        <v>26</v>
      </c>
      <c r="AF6" s="156" t="s">
        <v>26</v>
      </c>
      <c r="AG6" s="156" t="s">
        <v>26</v>
      </c>
      <c r="AH6" s="156" t="s">
        <v>26</v>
      </c>
      <c r="AI6" s="156" t="s">
        <v>26</v>
      </c>
      <c r="AJ6" s="156" t="s">
        <v>26</v>
      </c>
      <c r="AK6" s="156" t="s">
        <v>26</v>
      </c>
      <c r="AL6" s="156" t="s">
        <v>26</v>
      </c>
      <c r="AM6" s="156" t="s">
        <v>26</v>
      </c>
      <c r="AN6" s="156" t="s">
        <v>26</v>
      </c>
      <c r="AO6" s="156" t="s">
        <v>26</v>
      </c>
      <c r="AP6" s="156" t="s">
        <v>26</v>
      </c>
      <c r="AQ6" s="156" t="s">
        <v>26</v>
      </c>
      <c r="AR6" s="156" t="s">
        <v>26</v>
      </c>
      <c r="AS6" s="156" t="s">
        <v>26</v>
      </c>
      <c r="AU6" s="163">
        <v>0.05</v>
      </c>
      <c r="AV6" s="156" t="s">
        <v>32</v>
      </c>
      <c r="AW6" s="156" t="s">
        <v>32</v>
      </c>
      <c r="AX6" s="156" t="s">
        <v>32</v>
      </c>
      <c r="AY6" s="156" t="s">
        <v>32</v>
      </c>
      <c r="AZ6" s="156" t="s">
        <v>32</v>
      </c>
      <c r="BA6" s="156" t="s">
        <v>32</v>
      </c>
      <c r="BC6" s="156">
        <v>0.05</v>
      </c>
      <c r="BD6" s="156" t="s">
        <v>32</v>
      </c>
      <c r="BE6" s="156" t="s">
        <v>32</v>
      </c>
      <c r="BF6" s="156" t="s">
        <v>32</v>
      </c>
      <c r="BG6" s="156" t="s">
        <v>32</v>
      </c>
      <c r="BH6" s="156" t="s">
        <v>36</v>
      </c>
      <c r="BI6" s="156" t="s">
        <v>36</v>
      </c>
      <c r="BJ6" s="156" t="s">
        <v>36</v>
      </c>
      <c r="BK6" s="156" t="s">
        <v>36</v>
      </c>
      <c r="BL6" s="156" t="s">
        <v>36</v>
      </c>
      <c r="BM6" s="156" t="s">
        <v>36</v>
      </c>
      <c r="BN6" s="156" t="s">
        <v>36</v>
      </c>
      <c r="BO6" s="156" t="s">
        <v>36</v>
      </c>
      <c r="BQ6" s="156">
        <v>0</v>
      </c>
      <c r="BR6" s="156" t="s">
        <v>32</v>
      </c>
      <c r="BS6" s="156" t="s">
        <v>32</v>
      </c>
      <c r="BT6" s="156" t="s">
        <v>32</v>
      </c>
      <c r="BU6" s="156" t="s">
        <v>32</v>
      </c>
      <c r="BV6" s="156" t="s">
        <v>32</v>
      </c>
      <c r="BW6" s="156" t="s">
        <v>32</v>
      </c>
      <c r="BX6" s="156" t="s">
        <v>32</v>
      </c>
      <c r="BY6" s="156" t="s">
        <v>32</v>
      </c>
      <c r="BZ6" s="156" t="s">
        <v>32</v>
      </c>
      <c r="CA6" s="156" t="s">
        <v>32</v>
      </c>
      <c r="CB6" s="156" t="s">
        <v>32</v>
      </c>
      <c r="CC6" s="156" t="s">
        <v>32</v>
      </c>
      <c r="CD6" s="156" t="s">
        <v>32</v>
      </c>
      <c r="CE6" s="156" t="s">
        <v>32</v>
      </c>
      <c r="CF6" s="156" t="s">
        <v>32</v>
      </c>
      <c r="CG6" s="156" t="s">
        <v>32</v>
      </c>
      <c r="CH6" s="156" t="s">
        <v>32</v>
      </c>
      <c r="CI6" s="156" t="s">
        <v>32</v>
      </c>
      <c r="CJ6" s="156" t="s">
        <v>32</v>
      </c>
      <c r="CK6" s="156" t="s">
        <v>32</v>
      </c>
      <c r="CL6" s="156" t="s">
        <v>32</v>
      </c>
      <c r="CN6" s="156" t="s">
        <v>26</v>
      </c>
      <c r="CO6" s="156">
        <v>0</v>
      </c>
      <c r="CP6" s="156">
        <v>2.5000000000000001E-3</v>
      </c>
      <c r="CQ6" s="156">
        <v>5.0000000000000001E-3</v>
      </c>
      <c r="CR6" s="156">
        <v>7.4999999999999997E-3</v>
      </c>
      <c r="CS6" s="156">
        <v>0.01</v>
      </c>
      <c r="CT6" s="156">
        <v>1.2500000000000001E-2</v>
      </c>
      <c r="CU6" s="156">
        <v>1.4999999999999999E-2</v>
      </c>
      <c r="CV6" s="156">
        <v>1.7500000000000002E-2</v>
      </c>
      <c r="CW6" s="156">
        <v>0.02</v>
      </c>
      <c r="CX6" s="156">
        <v>2.2499999999999999E-2</v>
      </c>
      <c r="CY6" s="156">
        <v>2.5000000000000001E-2</v>
      </c>
      <c r="CZ6" s="156">
        <v>2.75E-2</v>
      </c>
      <c r="DA6" s="156">
        <v>0.03</v>
      </c>
      <c r="DB6" s="156">
        <v>3.2500000000000001E-2</v>
      </c>
      <c r="DC6" s="156">
        <v>3.5000000000000003E-2</v>
      </c>
      <c r="DD6" s="156">
        <v>3.7499999999999999E-2</v>
      </c>
      <c r="DE6" s="156">
        <v>0.04</v>
      </c>
      <c r="DF6" s="156">
        <v>4.2500000000000003E-2</v>
      </c>
      <c r="DG6" s="156">
        <v>4.4999999999999998E-2</v>
      </c>
      <c r="DH6" s="156">
        <v>4.7500000000000001E-2</v>
      </c>
      <c r="DI6" s="156">
        <v>0.05</v>
      </c>
    </row>
    <row r="7" spans="2:113" x14ac:dyDescent="0.2">
      <c r="B7" s="162">
        <v>0.01</v>
      </c>
      <c r="C7" s="156">
        <v>-55.30518091142585</v>
      </c>
      <c r="D7" s="156">
        <v>436.29465936258202</v>
      </c>
      <c r="E7" s="156">
        <v>1419.4943399105832</v>
      </c>
      <c r="F7" s="161">
        <v>2402.6940204585844</v>
      </c>
      <c r="G7" s="156" t="s">
        <v>17</v>
      </c>
      <c r="I7" s="162">
        <v>0.01</v>
      </c>
      <c r="J7" s="156">
        <v>-110.54486892989735</v>
      </c>
      <c r="K7" s="156">
        <v>327.62494091324334</v>
      </c>
      <c r="L7" s="156">
        <v>1203.964560599532</v>
      </c>
      <c r="M7" s="156">
        <v>2080.3041802858643</v>
      </c>
      <c r="N7" s="156" t="s">
        <v>17</v>
      </c>
      <c r="O7" s="161"/>
      <c r="Q7" s="164">
        <v>0.05</v>
      </c>
      <c r="R7" s="156" t="s">
        <v>32</v>
      </c>
      <c r="S7" s="156" t="s">
        <v>32</v>
      </c>
      <c r="T7" s="156" t="s">
        <v>32</v>
      </c>
      <c r="U7" s="156" t="s">
        <v>36</v>
      </c>
      <c r="V7" s="161" t="s">
        <v>36</v>
      </c>
      <c r="X7" s="163">
        <v>0.1</v>
      </c>
      <c r="Y7" s="156" t="s">
        <v>26</v>
      </c>
      <c r="Z7" s="156" t="s">
        <v>26</v>
      </c>
      <c r="AA7" s="156" t="s">
        <v>26</v>
      </c>
      <c r="AB7" s="156" t="s">
        <v>26</v>
      </c>
      <c r="AC7" s="156" t="s">
        <v>26</v>
      </c>
      <c r="AD7" s="156" t="s">
        <v>26</v>
      </c>
      <c r="AE7" s="156" t="s">
        <v>26</v>
      </c>
      <c r="AF7" s="156" t="s">
        <v>26</v>
      </c>
      <c r="AG7" s="156" t="s">
        <v>26</v>
      </c>
      <c r="AH7" s="156" t="s">
        <v>26</v>
      </c>
      <c r="AI7" s="156" t="s">
        <v>26</v>
      </c>
      <c r="AJ7" s="156" t="s">
        <v>26</v>
      </c>
      <c r="AK7" s="156" t="s">
        <v>26</v>
      </c>
      <c r="AL7" s="156" t="s">
        <v>26</v>
      </c>
      <c r="AM7" s="156" t="s">
        <v>26</v>
      </c>
      <c r="AN7" s="156" t="s">
        <v>26</v>
      </c>
      <c r="AO7" s="156" t="s">
        <v>26</v>
      </c>
      <c r="AP7" s="156" t="s">
        <v>26</v>
      </c>
      <c r="AQ7" s="156" t="s">
        <v>26</v>
      </c>
      <c r="AR7" s="156" t="s">
        <v>26</v>
      </c>
      <c r="AS7" s="156" t="s">
        <v>26</v>
      </c>
      <c r="AU7" s="163">
        <v>0.1</v>
      </c>
      <c r="AV7" s="156" t="s">
        <v>32</v>
      </c>
      <c r="AW7" s="156" t="s">
        <v>32</v>
      </c>
      <c r="AX7" s="156" t="s">
        <v>32</v>
      </c>
      <c r="AY7" s="156" t="s">
        <v>32</v>
      </c>
      <c r="AZ7" s="156" t="s">
        <v>32</v>
      </c>
      <c r="BA7" s="156" t="s">
        <v>32</v>
      </c>
      <c r="BC7" s="156">
        <v>0.1</v>
      </c>
      <c r="BD7" s="156" t="s">
        <v>32</v>
      </c>
      <c r="BE7" s="156" t="s">
        <v>32</v>
      </c>
      <c r="BF7" s="156" t="s">
        <v>32</v>
      </c>
      <c r="BG7" s="156" t="s">
        <v>36</v>
      </c>
      <c r="BH7" s="156" t="s">
        <v>36</v>
      </c>
      <c r="BI7" s="156" t="s">
        <v>36</v>
      </c>
      <c r="BJ7" s="156" t="s">
        <v>36</v>
      </c>
      <c r="BK7" s="156" t="s">
        <v>36</v>
      </c>
      <c r="BL7" s="156" t="s">
        <v>36</v>
      </c>
      <c r="BM7" s="156" t="s">
        <v>36</v>
      </c>
      <c r="BN7" s="156" t="s">
        <v>36</v>
      </c>
      <c r="BO7" s="156" t="s">
        <v>26</v>
      </c>
      <c r="BQ7" s="156">
        <v>2.5000000000000001E-3</v>
      </c>
      <c r="BR7" s="156" t="s">
        <v>32</v>
      </c>
      <c r="BS7" s="156" t="s">
        <v>32</v>
      </c>
      <c r="BT7" s="156" t="s">
        <v>32</v>
      </c>
      <c r="BU7" s="156" t="s">
        <v>32</v>
      </c>
      <c r="BV7" s="156" t="s">
        <v>32</v>
      </c>
      <c r="BW7" s="156" t="s">
        <v>32</v>
      </c>
      <c r="BX7" s="156" t="s">
        <v>32</v>
      </c>
      <c r="BY7" s="156" t="s">
        <v>32</v>
      </c>
      <c r="BZ7" s="156" t="s">
        <v>32</v>
      </c>
      <c r="CA7" s="156" t="s">
        <v>32</v>
      </c>
      <c r="CB7" s="156" t="s">
        <v>32</v>
      </c>
      <c r="CC7" s="156" t="s">
        <v>32</v>
      </c>
      <c r="CD7" s="156" t="s">
        <v>32</v>
      </c>
      <c r="CE7" s="156" t="s">
        <v>32</v>
      </c>
      <c r="CF7" s="156" t="s">
        <v>32</v>
      </c>
      <c r="CG7" s="156" t="s">
        <v>32</v>
      </c>
      <c r="CH7" s="156" t="s">
        <v>32</v>
      </c>
      <c r="CI7" s="156" t="s">
        <v>32</v>
      </c>
      <c r="CJ7" s="156" t="s">
        <v>32</v>
      </c>
      <c r="CK7" s="156" t="s">
        <v>32</v>
      </c>
      <c r="CL7" s="156" t="s">
        <v>32</v>
      </c>
      <c r="CN7" s="156">
        <v>0</v>
      </c>
      <c r="CO7" s="156" t="s">
        <v>26</v>
      </c>
      <c r="CP7" s="156" t="s">
        <v>26</v>
      </c>
      <c r="CQ7" s="156" t="s">
        <v>26</v>
      </c>
      <c r="CR7" s="156" t="s">
        <v>26</v>
      </c>
      <c r="CS7" s="156" t="s">
        <v>26</v>
      </c>
      <c r="CT7" s="156" t="s">
        <v>26</v>
      </c>
      <c r="CU7" s="156" t="s">
        <v>26</v>
      </c>
      <c r="CV7" s="156" t="s">
        <v>26</v>
      </c>
      <c r="CW7" s="156" t="s">
        <v>26</v>
      </c>
      <c r="CX7" s="156" t="s">
        <v>26</v>
      </c>
      <c r="CY7" s="156" t="s">
        <v>26</v>
      </c>
      <c r="CZ7" s="156" t="s">
        <v>26</v>
      </c>
      <c r="DA7" s="156" t="s">
        <v>26</v>
      </c>
      <c r="DB7" s="156" t="s">
        <v>26</v>
      </c>
      <c r="DC7" s="156" t="s">
        <v>26</v>
      </c>
      <c r="DD7" s="156" t="s">
        <v>26</v>
      </c>
      <c r="DE7" s="156" t="s">
        <v>26</v>
      </c>
      <c r="DF7" s="156" t="s">
        <v>26</v>
      </c>
      <c r="DG7" s="156" t="s">
        <v>26</v>
      </c>
      <c r="DH7" s="156" t="s">
        <v>26</v>
      </c>
      <c r="DI7" s="156" t="s">
        <v>26</v>
      </c>
    </row>
    <row r="8" spans="2:113" x14ac:dyDescent="0.2">
      <c r="B8" s="162">
        <v>0.02</v>
      </c>
      <c r="C8" s="156">
        <v>-76.996256823011208</v>
      </c>
      <c r="D8" s="156">
        <v>392.91250753941131</v>
      </c>
      <c r="E8" s="156">
        <v>1332.7300362642418</v>
      </c>
      <c r="F8" s="161">
        <v>2272.5475649890723</v>
      </c>
      <c r="I8" s="162">
        <v>0.02</v>
      </c>
      <c r="J8" s="156">
        <v>-109.71783085470088</v>
      </c>
      <c r="K8" s="156">
        <v>328.45197898844344</v>
      </c>
      <c r="L8" s="156">
        <v>1204.7915986747248</v>
      </c>
      <c r="M8" s="156">
        <v>2081.1312183610571</v>
      </c>
      <c r="O8" s="161"/>
      <c r="Q8" s="164">
        <v>0.1</v>
      </c>
      <c r="R8" s="156" t="s">
        <v>32</v>
      </c>
      <c r="S8" s="156" t="s">
        <v>32</v>
      </c>
      <c r="T8" s="156" t="s">
        <v>36</v>
      </c>
      <c r="U8" s="156" t="s">
        <v>36</v>
      </c>
      <c r="V8" s="161" t="s">
        <v>36</v>
      </c>
      <c r="X8" s="163">
        <v>0.15</v>
      </c>
      <c r="Y8" s="156" t="s">
        <v>26</v>
      </c>
      <c r="Z8" s="156" t="s">
        <v>26</v>
      </c>
      <c r="AA8" s="156" t="s">
        <v>26</v>
      </c>
      <c r="AB8" s="156" t="s">
        <v>26</v>
      </c>
      <c r="AC8" s="156" t="s">
        <v>26</v>
      </c>
      <c r="AD8" s="156" t="s">
        <v>26</v>
      </c>
      <c r="AE8" s="156" t="s">
        <v>26</v>
      </c>
      <c r="AF8" s="156" t="s">
        <v>26</v>
      </c>
      <c r="AG8" s="156" t="s">
        <v>26</v>
      </c>
      <c r="AH8" s="156" t="s">
        <v>26</v>
      </c>
      <c r="AI8" s="156" t="s">
        <v>26</v>
      </c>
      <c r="AJ8" s="156" t="s">
        <v>26</v>
      </c>
      <c r="AK8" s="156" t="s">
        <v>26</v>
      </c>
      <c r="AL8" s="156" t="s">
        <v>26</v>
      </c>
      <c r="AM8" s="156" t="s">
        <v>26</v>
      </c>
      <c r="AN8" s="156" t="s">
        <v>26</v>
      </c>
      <c r="AO8" s="156" t="s">
        <v>26</v>
      </c>
      <c r="AP8" s="156" t="s">
        <v>26</v>
      </c>
      <c r="AQ8" s="156" t="s">
        <v>26</v>
      </c>
      <c r="AR8" s="156" t="s">
        <v>26</v>
      </c>
      <c r="AS8" s="156" t="s">
        <v>26</v>
      </c>
      <c r="AU8" s="163">
        <v>0.15</v>
      </c>
      <c r="AV8" s="156" t="s">
        <v>32</v>
      </c>
      <c r="AW8" s="156" t="s">
        <v>32</v>
      </c>
      <c r="AX8" s="156" t="s">
        <v>32</v>
      </c>
      <c r="AY8" s="156" t="s">
        <v>32</v>
      </c>
      <c r="AZ8" s="156" t="s">
        <v>32</v>
      </c>
      <c r="BA8" s="156" t="s">
        <v>32</v>
      </c>
      <c r="BC8" s="156">
        <v>0.15</v>
      </c>
      <c r="BD8" s="156" t="s">
        <v>32</v>
      </c>
      <c r="BE8" s="156" t="s">
        <v>32</v>
      </c>
      <c r="BF8" s="156" t="s">
        <v>32</v>
      </c>
      <c r="BG8" s="156" t="s">
        <v>36</v>
      </c>
      <c r="BH8" s="156" t="s">
        <v>36</v>
      </c>
      <c r="BI8" s="156" t="s">
        <v>36</v>
      </c>
      <c r="BJ8" s="156" t="s">
        <v>36</v>
      </c>
      <c r="BK8" s="156" t="s">
        <v>36</v>
      </c>
      <c r="BL8" s="156" t="s">
        <v>36</v>
      </c>
      <c r="BM8" s="156" t="s">
        <v>36</v>
      </c>
      <c r="BN8" s="156" t="s">
        <v>26</v>
      </c>
      <c r="BO8" s="156" t="s">
        <v>26</v>
      </c>
      <c r="BQ8" s="156">
        <v>5.0000000000000001E-3</v>
      </c>
      <c r="BR8" s="156" t="s">
        <v>32</v>
      </c>
      <c r="BS8" s="156" t="s">
        <v>32</v>
      </c>
      <c r="BT8" s="156" t="s">
        <v>32</v>
      </c>
      <c r="BU8" s="156" t="s">
        <v>32</v>
      </c>
      <c r="BV8" s="156" t="s">
        <v>32</v>
      </c>
      <c r="BW8" s="156" t="s">
        <v>32</v>
      </c>
      <c r="BX8" s="156" t="s">
        <v>32</v>
      </c>
      <c r="BY8" s="156" t="s">
        <v>32</v>
      </c>
      <c r="BZ8" s="156" t="s">
        <v>32</v>
      </c>
      <c r="CA8" s="156" t="s">
        <v>32</v>
      </c>
      <c r="CB8" s="156" t="s">
        <v>32</v>
      </c>
      <c r="CC8" s="156" t="s">
        <v>32</v>
      </c>
      <c r="CD8" s="156" t="s">
        <v>32</v>
      </c>
      <c r="CE8" s="156" t="s">
        <v>32</v>
      </c>
      <c r="CF8" s="156" t="s">
        <v>32</v>
      </c>
      <c r="CG8" s="156" t="s">
        <v>32</v>
      </c>
      <c r="CH8" s="156" t="s">
        <v>32</v>
      </c>
      <c r="CI8" s="156" t="s">
        <v>32</v>
      </c>
      <c r="CJ8" s="156" t="s">
        <v>32</v>
      </c>
      <c r="CK8" s="156" t="s">
        <v>32</v>
      </c>
      <c r="CL8" s="156" t="s">
        <v>32</v>
      </c>
      <c r="CN8" s="156">
        <v>2.5000000000000001E-3</v>
      </c>
      <c r="CO8" s="156" t="s">
        <v>26</v>
      </c>
      <c r="CP8" s="156" t="s">
        <v>26</v>
      </c>
      <c r="CQ8" s="156" t="s">
        <v>26</v>
      </c>
      <c r="CR8" s="156" t="s">
        <v>26</v>
      </c>
      <c r="CS8" s="156" t="s">
        <v>26</v>
      </c>
      <c r="CT8" s="156" t="s">
        <v>26</v>
      </c>
      <c r="CU8" s="156" t="s">
        <v>26</v>
      </c>
      <c r="CV8" s="156" t="s">
        <v>26</v>
      </c>
      <c r="CW8" s="156" t="s">
        <v>26</v>
      </c>
      <c r="CX8" s="156" t="s">
        <v>26</v>
      </c>
      <c r="CY8" s="156" t="s">
        <v>26</v>
      </c>
      <c r="CZ8" s="156" t="s">
        <v>26</v>
      </c>
      <c r="DA8" s="156" t="s">
        <v>26</v>
      </c>
      <c r="DB8" s="156" t="s">
        <v>26</v>
      </c>
      <c r="DC8" s="156" t="s">
        <v>26</v>
      </c>
      <c r="DD8" s="156" t="s">
        <v>26</v>
      </c>
      <c r="DE8" s="156" t="s">
        <v>26</v>
      </c>
      <c r="DF8" s="156" t="s">
        <v>26</v>
      </c>
      <c r="DG8" s="156" t="s">
        <v>26</v>
      </c>
      <c r="DH8" s="156" t="s">
        <v>26</v>
      </c>
      <c r="DI8" s="156" t="s">
        <v>26</v>
      </c>
    </row>
    <row r="9" spans="2:113" x14ac:dyDescent="0.2">
      <c r="B9" s="162">
        <v>0.03</v>
      </c>
      <c r="C9" s="156">
        <v>-98.277275607040792</v>
      </c>
      <c r="D9" s="156">
        <v>350.35046997135214</v>
      </c>
      <c r="E9" s="156">
        <v>1247.6059611281235</v>
      </c>
      <c r="F9" s="161">
        <v>2144.8614522849093</v>
      </c>
      <c r="I9" s="162">
        <v>0.03</v>
      </c>
      <c r="J9" s="156">
        <v>-109.03114892879967</v>
      </c>
      <c r="K9" s="156">
        <v>329.13866091435193</v>
      </c>
      <c r="L9" s="156">
        <v>1205.4782806006406</v>
      </c>
      <c r="M9" s="156">
        <v>2081.8179002869583</v>
      </c>
      <c r="O9" s="161"/>
      <c r="Q9" s="164">
        <v>0.15</v>
      </c>
      <c r="R9" s="156" t="s">
        <v>32</v>
      </c>
      <c r="S9" s="156" t="s">
        <v>32</v>
      </c>
      <c r="T9" s="156" t="s">
        <v>36</v>
      </c>
      <c r="U9" s="156" t="s">
        <v>36</v>
      </c>
      <c r="V9" s="161" t="s">
        <v>36</v>
      </c>
      <c r="X9" s="163">
        <v>0.2</v>
      </c>
      <c r="Y9" s="156" t="s">
        <v>26</v>
      </c>
      <c r="Z9" s="156" t="s">
        <v>26</v>
      </c>
      <c r="AA9" s="156" t="s">
        <v>26</v>
      </c>
      <c r="AB9" s="156" t="s">
        <v>26</v>
      </c>
      <c r="AC9" s="156" t="s">
        <v>26</v>
      </c>
      <c r="AD9" s="156" t="s">
        <v>26</v>
      </c>
      <c r="AE9" s="156" t="s">
        <v>26</v>
      </c>
      <c r="AF9" s="156" t="s">
        <v>26</v>
      </c>
      <c r="AG9" s="156" t="s">
        <v>26</v>
      </c>
      <c r="AH9" s="156" t="s">
        <v>26</v>
      </c>
      <c r="AI9" s="156" t="s">
        <v>26</v>
      </c>
      <c r="AJ9" s="156" t="s">
        <v>26</v>
      </c>
      <c r="AK9" s="156" t="s">
        <v>26</v>
      </c>
      <c r="AL9" s="156" t="s">
        <v>26</v>
      </c>
      <c r="AM9" s="156" t="s">
        <v>26</v>
      </c>
      <c r="AN9" s="156" t="s">
        <v>26</v>
      </c>
      <c r="AO9" s="156" t="s">
        <v>26</v>
      </c>
      <c r="AP9" s="156" t="s">
        <v>26</v>
      </c>
      <c r="AQ9" s="156" t="s">
        <v>26</v>
      </c>
      <c r="AR9" s="156" t="s">
        <v>26</v>
      </c>
      <c r="AS9" s="156" t="s">
        <v>26</v>
      </c>
      <c r="AU9" s="163">
        <v>0.2</v>
      </c>
      <c r="AV9" s="156" t="s">
        <v>32</v>
      </c>
      <c r="AW9" s="156" t="s">
        <v>32</v>
      </c>
      <c r="AX9" s="156" t="s">
        <v>32</v>
      </c>
      <c r="AY9" s="156" t="s">
        <v>32</v>
      </c>
      <c r="AZ9" s="156" t="s">
        <v>32</v>
      </c>
      <c r="BA9" s="156" t="s">
        <v>32</v>
      </c>
      <c r="BC9" s="156">
        <v>0.2</v>
      </c>
      <c r="BD9" s="156" t="s">
        <v>32</v>
      </c>
      <c r="BE9" s="156" t="s">
        <v>32</v>
      </c>
      <c r="BF9" s="156" t="s">
        <v>32</v>
      </c>
      <c r="BG9" s="156" t="s">
        <v>36</v>
      </c>
      <c r="BH9" s="156" t="s">
        <v>36</v>
      </c>
      <c r="BI9" s="156" t="s">
        <v>36</v>
      </c>
      <c r="BJ9" s="156" t="s">
        <v>36</v>
      </c>
      <c r="BK9" s="156" t="s">
        <v>36</v>
      </c>
      <c r="BL9" s="156" t="s">
        <v>26</v>
      </c>
      <c r="BM9" s="156" t="s">
        <v>26</v>
      </c>
      <c r="BN9" s="156" t="s">
        <v>26</v>
      </c>
      <c r="BO9" s="156" t="s">
        <v>26</v>
      </c>
      <c r="BQ9" s="156">
        <v>7.4999999999999997E-3</v>
      </c>
      <c r="BR9" s="156" t="s">
        <v>32</v>
      </c>
      <c r="BS9" s="156" t="s">
        <v>32</v>
      </c>
      <c r="BT9" s="156" t="s">
        <v>32</v>
      </c>
      <c r="BU9" s="156" t="s">
        <v>32</v>
      </c>
      <c r="BV9" s="156" t="s">
        <v>32</v>
      </c>
      <c r="BW9" s="156" t="s">
        <v>32</v>
      </c>
      <c r="BX9" s="156" t="s">
        <v>32</v>
      </c>
      <c r="BY9" s="156" t="s">
        <v>32</v>
      </c>
      <c r="BZ9" s="156" t="s">
        <v>32</v>
      </c>
      <c r="CA9" s="156" t="s">
        <v>32</v>
      </c>
      <c r="CB9" s="156" t="s">
        <v>32</v>
      </c>
      <c r="CC9" s="156" t="s">
        <v>32</v>
      </c>
      <c r="CD9" s="156" t="s">
        <v>32</v>
      </c>
      <c r="CE9" s="156" t="s">
        <v>32</v>
      </c>
      <c r="CF9" s="156" t="s">
        <v>32</v>
      </c>
      <c r="CG9" s="156" t="s">
        <v>32</v>
      </c>
      <c r="CH9" s="156" t="s">
        <v>32</v>
      </c>
      <c r="CI9" s="156" t="s">
        <v>32</v>
      </c>
      <c r="CJ9" s="156" t="s">
        <v>32</v>
      </c>
      <c r="CK9" s="156" t="s">
        <v>32</v>
      </c>
      <c r="CL9" s="156" t="s">
        <v>32</v>
      </c>
      <c r="CN9" s="156">
        <v>5.0000000000000001E-3</v>
      </c>
      <c r="CO9" s="156" t="s">
        <v>26</v>
      </c>
      <c r="CP9" s="156" t="s">
        <v>26</v>
      </c>
      <c r="CQ9" s="156" t="s">
        <v>26</v>
      </c>
      <c r="CR9" s="156" t="s">
        <v>26</v>
      </c>
      <c r="CS9" s="156" t="s">
        <v>26</v>
      </c>
      <c r="CT9" s="156" t="s">
        <v>26</v>
      </c>
      <c r="CU9" s="156" t="s">
        <v>26</v>
      </c>
      <c r="CV9" s="156" t="s">
        <v>26</v>
      </c>
      <c r="CW9" s="156" t="s">
        <v>26</v>
      </c>
      <c r="CX9" s="156" t="s">
        <v>26</v>
      </c>
      <c r="CY9" s="156" t="s">
        <v>26</v>
      </c>
      <c r="CZ9" s="156" t="s">
        <v>26</v>
      </c>
      <c r="DA9" s="156" t="s">
        <v>26</v>
      </c>
      <c r="DB9" s="156" t="s">
        <v>26</v>
      </c>
      <c r="DC9" s="156" t="s">
        <v>26</v>
      </c>
      <c r="DD9" s="156" t="s">
        <v>26</v>
      </c>
      <c r="DE9" s="156" t="s">
        <v>26</v>
      </c>
      <c r="DF9" s="156" t="s">
        <v>26</v>
      </c>
      <c r="DG9" s="156" t="s">
        <v>26</v>
      </c>
      <c r="DH9" s="156" t="s">
        <v>26</v>
      </c>
      <c r="DI9" s="156" t="s">
        <v>26</v>
      </c>
    </row>
    <row r="10" spans="2:113" x14ac:dyDescent="0.2">
      <c r="B10" s="162">
        <v>0.04</v>
      </c>
      <c r="C10" s="156">
        <v>-119.05893109886165</v>
      </c>
      <c r="D10" s="156">
        <v>308.78715898771043</v>
      </c>
      <c r="E10" s="156">
        <v>1164.47933916084</v>
      </c>
      <c r="F10" s="161">
        <v>2020.1715193339624</v>
      </c>
      <c r="I10" s="162">
        <v>0.04</v>
      </c>
      <c r="J10" s="156">
        <v>-108.46833531291122</v>
      </c>
      <c r="K10" s="156">
        <v>329.70147453023674</v>
      </c>
      <c r="L10" s="156">
        <v>1206.0410942165181</v>
      </c>
      <c r="M10" s="156">
        <v>2082.3807139028504</v>
      </c>
      <c r="O10" s="161"/>
      <c r="Q10" s="164">
        <v>0.2</v>
      </c>
      <c r="R10" s="156" t="s">
        <v>32</v>
      </c>
      <c r="S10" s="156" t="s">
        <v>32</v>
      </c>
      <c r="T10" s="156" t="s">
        <v>36</v>
      </c>
      <c r="U10" s="156" t="s">
        <v>36</v>
      </c>
      <c r="V10" s="161" t="s">
        <v>36</v>
      </c>
      <c r="X10" s="163">
        <v>0.25</v>
      </c>
      <c r="Y10" s="156" t="s">
        <v>26</v>
      </c>
      <c r="Z10" s="156" t="s">
        <v>26</v>
      </c>
      <c r="AA10" s="156" t="s">
        <v>26</v>
      </c>
      <c r="AB10" s="156" t="s">
        <v>26</v>
      </c>
      <c r="AC10" s="156" t="s">
        <v>26</v>
      </c>
      <c r="AD10" s="156" t="s">
        <v>26</v>
      </c>
      <c r="AE10" s="156" t="s">
        <v>26</v>
      </c>
      <c r="AF10" s="156" t="s">
        <v>26</v>
      </c>
      <c r="AG10" s="156" t="s">
        <v>26</v>
      </c>
      <c r="AH10" s="156" t="s">
        <v>26</v>
      </c>
      <c r="AI10" s="156" t="s">
        <v>26</v>
      </c>
      <c r="AJ10" s="156" t="s">
        <v>26</v>
      </c>
      <c r="AK10" s="156" t="s">
        <v>26</v>
      </c>
      <c r="AL10" s="156" t="s">
        <v>26</v>
      </c>
      <c r="AM10" s="156" t="s">
        <v>26</v>
      </c>
      <c r="AN10" s="156" t="s">
        <v>26</v>
      </c>
      <c r="AO10" s="156" t="s">
        <v>26</v>
      </c>
      <c r="AP10" s="156" t="s">
        <v>26</v>
      </c>
      <c r="AQ10" s="156" t="s">
        <v>26</v>
      </c>
      <c r="AR10" s="156" t="s">
        <v>26</v>
      </c>
      <c r="AS10" s="156" t="s">
        <v>26</v>
      </c>
      <c r="AU10" s="163">
        <v>0.25</v>
      </c>
      <c r="AV10" s="156" t="s">
        <v>32</v>
      </c>
      <c r="AW10" s="156" t="s">
        <v>32</v>
      </c>
      <c r="AX10" s="156" t="s">
        <v>32</v>
      </c>
      <c r="AY10" s="156" t="s">
        <v>32</v>
      </c>
      <c r="AZ10" s="156" t="s">
        <v>32</v>
      </c>
      <c r="BA10" s="156" t="s">
        <v>32</v>
      </c>
      <c r="BC10" s="156">
        <v>0.25</v>
      </c>
      <c r="BD10" s="156" t="s">
        <v>32</v>
      </c>
      <c r="BE10" s="156" t="s">
        <v>32</v>
      </c>
      <c r="BF10" s="156" t="s">
        <v>32</v>
      </c>
      <c r="BG10" s="156" t="s">
        <v>36</v>
      </c>
      <c r="BH10" s="156" t="s">
        <v>36</v>
      </c>
      <c r="BI10" s="156" t="s">
        <v>36</v>
      </c>
      <c r="BJ10" s="156" t="s">
        <v>26</v>
      </c>
      <c r="BK10" s="156" t="s">
        <v>26</v>
      </c>
      <c r="BL10" s="156" t="s">
        <v>26</v>
      </c>
      <c r="BM10" s="156" t="s">
        <v>26</v>
      </c>
      <c r="BN10" s="156" t="s">
        <v>26</v>
      </c>
      <c r="BO10" s="156" t="s">
        <v>26</v>
      </c>
      <c r="BQ10" s="156">
        <v>0.01</v>
      </c>
      <c r="BR10" s="156" t="s">
        <v>32</v>
      </c>
      <c r="BS10" s="156" t="s">
        <v>32</v>
      </c>
      <c r="BT10" s="156" t="s">
        <v>32</v>
      </c>
      <c r="BU10" s="156" t="s">
        <v>32</v>
      </c>
      <c r="BV10" s="156" t="s">
        <v>32</v>
      </c>
      <c r="BW10" s="156" t="s">
        <v>32</v>
      </c>
      <c r="BX10" s="156" t="s">
        <v>32</v>
      </c>
      <c r="BY10" s="156" t="s">
        <v>32</v>
      </c>
      <c r="BZ10" s="156" t="s">
        <v>32</v>
      </c>
      <c r="CA10" s="156" t="s">
        <v>32</v>
      </c>
      <c r="CB10" s="156" t="s">
        <v>32</v>
      </c>
      <c r="CC10" s="156" t="s">
        <v>32</v>
      </c>
      <c r="CD10" s="156" t="s">
        <v>32</v>
      </c>
      <c r="CE10" s="156" t="s">
        <v>32</v>
      </c>
      <c r="CF10" s="156" t="s">
        <v>32</v>
      </c>
      <c r="CG10" s="156" t="s">
        <v>32</v>
      </c>
      <c r="CH10" s="156" t="s">
        <v>32</v>
      </c>
      <c r="CI10" s="156" t="s">
        <v>32</v>
      </c>
      <c r="CJ10" s="156" t="s">
        <v>32</v>
      </c>
      <c r="CK10" s="156" t="s">
        <v>32</v>
      </c>
      <c r="CL10" s="156" t="s">
        <v>32</v>
      </c>
      <c r="CN10" s="156">
        <v>7.4999999999999997E-3</v>
      </c>
      <c r="CO10" s="156" t="s">
        <v>26</v>
      </c>
      <c r="CP10" s="156" t="s">
        <v>26</v>
      </c>
      <c r="CQ10" s="156" t="s">
        <v>26</v>
      </c>
      <c r="CR10" s="156" t="s">
        <v>26</v>
      </c>
      <c r="CS10" s="156" t="s">
        <v>26</v>
      </c>
      <c r="CT10" s="156" t="s">
        <v>26</v>
      </c>
      <c r="CU10" s="156" t="s">
        <v>26</v>
      </c>
      <c r="CV10" s="156" t="s">
        <v>26</v>
      </c>
      <c r="CW10" s="156" t="s">
        <v>26</v>
      </c>
      <c r="CX10" s="156" t="s">
        <v>26</v>
      </c>
      <c r="CY10" s="156" t="s">
        <v>26</v>
      </c>
      <c r="CZ10" s="156" t="s">
        <v>26</v>
      </c>
      <c r="DA10" s="156" t="s">
        <v>26</v>
      </c>
      <c r="DB10" s="156" t="s">
        <v>26</v>
      </c>
      <c r="DC10" s="156" t="s">
        <v>26</v>
      </c>
      <c r="DD10" s="156" t="s">
        <v>26</v>
      </c>
      <c r="DE10" s="156" t="s">
        <v>26</v>
      </c>
      <c r="DF10" s="156" t="s">
        <v>26</v>
      </c>
      <c r="DG10" s="156" t="s">
        <v>26</v>
      </c>
      <c r="DH10" s="156" t="s">
        <v>26</v>
      </c>
      <c r="DI10" s="156" t="s">
        <v>26</v>
      </c>
    </row>
    <row r="11" spans="2:113" x14ac:dyDescent="0.2">
      <c r="B11" s="162">
        <v>0.05</v>
      </c>
      <c r="C11" s="156">
        <v>-139.27359662793606</v>
      </c>
      <c r="D11" s="156">
        <v>268.35782792956161</v>
      </c>
      <c r="E11" s="156">
        <v>1083.6206770445424</v>
      </c>
      <c r="F11" s="161">
        <v>1898.8835261595377</v>
      </c>
      <c r="I11" s="162">
        <v>0.05</v>
      </c>
      <c r="J11" s="156">
        <v>-108.01481829123804</v>
      </c>
      <c r="K11" s="156">
        <v>330.15499155190628</v>
      </c>
      <c r="L11" s="156">
        <v>1206.4946112381876</v>
      </c>
      <c r="M11" s="156">
        <v>2082.8342309245199</v>
      </c>
      <c r="O11" s="161"/>
      <c r="Q11" s="164">
        <v>0.25</v>
      </c>
      <c r="R11" s="156" t="s">
        <v>32</v>
      </c>
      <c r="S11" s="156" t="s">
        <v>32</v>
      </c>
      <c r="T11" s="156" t="s">
        <v>36</v>
      </c>
      <c r="U11" s="156" t="s">
        <v>36</v>
      </c>
      <c r="V11" s="161" t="s">
        <v>26</v>
      </c>
      <c r="X11" s="163">
        <v>0.3</v>
      </c>
      <c r="Y11" s="156" t="s">
        <v>26</v>
      </c>
      <c r="Z11" s="156" t="s">
        <v>26</v>
      </c>
      <c r="AA11" s="156" t="s">
        <v>26</v>
      </c>
      <c r="AB11" s="156" t="s">
        <v>26</v>
      </c>
      <c r="AC11" s="156" t="s">
        <v>26</v>
      </c>
      <c r="AD11" s="156" t="s">
        <v>26</v>
      </c>
      <c r="AE11" s="156" t="s">
        <v>26</v>
      </c>
      <c r="AF11" s="156" t="s">
        <v>26</v>
      </c>
      <c r="AG11" s="156" t="s">
        <v>26</v>
      </c>
      <c r="AH11" s="156" t="s">
        <v>26</v>
      </c>
      <c r="AI11" s="156" t="s">
        <v>26</v>
      </c>
      <c r="AJ11" s="156" t="s">
        <v>26</v>
      </c>
      <c r="AK11" s="156" t="s">
        <v>26</v>
      </c>
      <c r="AL11" s="156" t="s">
        <v>26</v>
      </c>
      <c r="AM11" s="156" t="s">
        <v>26</v>
      </c>
      <c r="AN11" s="156" t="s">
        <v>26</v>
      </c>
      <c r="AO11" s="156" t="s">
        <v>26</v>
      </c>
      <c r="AP11" s="156" t="s">
        <v>26</v>
      </c>
      <c r="AQ11" s="156" t="s">
        <v>26</v>
      </c>
      <c r="AR11" s="156" t="s">
        <v>26</v>
      </c>
      <c r="AS11" s="156" t="s">
        <v>26</v>
      </c>
      <c r="AU11" s="163">
        <v>0.3</v>
      </c>
      <c r="AV11" s="156" t="s">
        <v>32</v>
      </c>
      <c r="AW11" s="156" t="s">
        <v>32</v>
      </c>
      <c r="AX11" s="156" t="s">
        <v>32</v>
      </c>
      <c r="AY11" s="156" t="s">
        <v>32</v>
      </c>
      <c r="AZ11" s="156" t="s">
        <v>32</v>
      </c>
      <c r="BA11" s="156" t="s">
        <v>32</v>
      </c>
      <c r="BC11" s="156">
        <v>0.3</v>
      </c>
      <c r="BD11" s="156" t="s">
        <v>32</v>
      </c>
      <c r="BE11" s="156" t="s">
        <v>32</v>
      </c>
      <c r="BF11" s="156" t="s">
        <v>32</v>
      </c>
      <c r="BG11" s="156" t="s">
        <v>36</v>
      </c>
      <c r="BH11" s="156" t="s">
        <v>36</v>
      </c>
      <c r="BI11" s="156" t="s">
        <v>26</v>
      </c>
      <c r="BJ11" s="156" t="s">
        <v>26</v>
      </c>
      <c r="BK11" s="156" t="s">
        <v>26</v>
      </c>
      <c r="BL11" s="156" t="s">
        <v>26</v>
      </c>
      <c r="BM11" s="156" t="s">
        <v>26</v>
      </c>
      <c r="BN11" s="156" t="s">
        <v>26</v>
      </c>
      <c r="BO11" s="156" t="s">
        <v>26</v>
      </c>
      <c r="BQ11" s="156">
        <v>1.2500000000000001E-2</v>
      </c>
      <c r="BR11" s="156" t="s">
        <v>32</v>
      </c>
      <c r="BS11" s="156" t="s">
        <v>32</v>
      </c>
      <c r="BT11" s="156" t="s">
        <v>32</v>
      </c>
      <c r="BU11" s="156" t="s">
        <v>32</v>
      </c>
      <c r="BV11" s="156" t="s">
        <v>32</v>
      </c>
      <c r="BW11" s="156" t="s">
        <v>32</v>
      </c>
      <c r="BX11" s="156" t="s">
        <v>32</v>
      </c>
      <c r="BY11" s="156" t="s">
        <v>32</v>
      </c>
      <c r="BZ11" s="156" t="s">
        <v>32</v>
      </c>
      <c r="CA11" s="156" t="s">
        <v>32</v>
      </c>
      <c r="CB11" s="156" t="s">
        <v>32</v>
      </c>
      <c r="CC11" s="156" t="s">
        <v>32</v>
      </c>
      <c r="CD11" s="156" t="s">
        <v>32</v>
      </c>
      <c r="CE11" s="156" t="s">
        <v>32</v>
      </c>
      <c r="CF11" s="156" t="s">
        <v>32</v>
      </c>
      <c r="CG11" s="156" t="s">
        <v>32</v>
      </c>
      <c r="CH11" s="156" t="s">
        <v>32</v>
      </c>
      <c r="CI11" s="156" t="s">
        <v>32</v>
      </c>
      <c r="CJ11" s="156" t="s">
        <v>32</v>
      </c>
      <c r="CK11" s="156" t="s">
        <v>32</v>
      </c>
      <c r="CL11" s="156" t="s">
        <v>32</v>
      </c>
      <c r="CN11" s="156">
        <v>0.01</v>
      </c>
      <c r="CO11" s="156" t="s">
        <v>26</v>
      </c>
      <c r="CP11" s="156" t="s">
        <v>26</v>
      </c>
      <c r="CQ11" s="156" t="s">
        <v>26</v>
      </c>
      <c r="CR11" s="156" t="s">
        <v>26</v>
      </c>
      <c r="CS11" s="156" t="s">
        <v>26</v>
      </c>
      <c r="CT11" s="156" t="s">
        <v>26</v>
      </c>
      <c r="CU11" s="156" t="s">
        <v>26</v>
      </c>
      <c r="CV11" s="156" t="s">
        <v>26</v>
      </c>
      <c r="CW11" s="156" t="s">
        <v>26</v>
      </c>
      <c r="CX11" s="156" t="s">
        <v>26</v>
      </c>
      <c r="CY11" s="156" t="s">
        <v>26</v>
      </c>
      <c r="CZ11" s="156" t="s">
        <v>26</v>
      </c>
      <c r="DA11" s="156" t="s">
        <v>26</v>
      </c>
      <c r="DB11" s="156" t="s">
        <v>26</v>
      </c>
      <c r="DC11" s="156" t="s">
        <v>26</v>
      </c>
      <c r="DD11" s="156" t="s">
        <v>26</v>
      </c>
      <c r="DE11" s="156" t="s">
        <v>26</v>
      </c>
      <c r="DF11" s="156" t="s">
        <v>26</v>
      </c>
      <c r="DG11" s="156" t="s">
        <v>26</v>
      </c>
      <c r="DH11" s="156" t="s">
        <v>26</v>
      </c>
      <c r="DI11" s="156" t="s">
        <v>26</v>
      </c>
    </row>
    <row r="12" spans="2:113" x14ac:dyDescent="0.2">
      <c r="B12" s="162">
        <v>0.06</v>
      </c>
      <c r="C12" s="156">
        <v>-158.87157150694838</v>
      </c>
      <c r="D12" s="156">
        <v>229.16187817153696</v>
      </c>
      <c r="E12" s="156">
        <v>1005.2287775284931</v>
      </c>
      <c r="F12" s="161">
        <v>1781.2956768854638</v>
      </c>
      <c r="I12" s="162">
        <v>0.06</v>
      </c>
      <c r="J12" s="156">
        <v>-107.65770975220221</v>
      </c>
      <c r="K12" s="156">
        <v>330.51210009094939</v>
      </c>
      <c r="L12" s="156">
        <v>1206.8517197772308</v>
      </c>
      <c r="M12" s="156">
        <v>2083.1913394635485</v>
      </c>
      <c r="O12" s="161"/>
      <c r="Q12" s="164">
        <v>0.3</v>
      </c>
      <c r="R12" s="156" t="s">
        <v>32</v>
      </c>
      <c r="S12" s="156" t="s">
        <v>32</v>
      </c>
      <c r="T12" s="156" t="s">
        <v>36</v>
      </c>
      <c r="U12" s="156" t="s">
        <v>26</v>
      </c>
      <c r="V12" s="161" t="s">
        <v>26</v>
      </c>
      <c r="X12" s="163">
        <v>0.35</v>
      </c>
      <c r="Y12" s="156" t="s">
        <v>26</v>
      </c>
      <c r="Z12" s="156" t="s">
        <v>26</v>
      </c>
      <c r="AA12" s="156" t="s">
        <v>26</v>
      </c>
      <c r="AB12" s="156" t="s">
        <v>26</v>
      </c>
      <c r="AC12" s="156" t="s">
        <v>26</v>
      </c>
      <c r="AD12" s="156" t="s">
        <v>26</v>
      </c>
      <c r="AE12" s="156" t="s">
        <v>26</v>
      </c>
      <c r="AF12" s="156" t="s">
        <v>26</v>
      </c>
      <c r="AG12" s="156" t="s">
        <v>26</v>
      </c>
      <c r="AH12" s="156" t="s">
        <v>26</v>
      </c>
      <c r="AI12" s="156" t="s">
        <v>26</v>
      </c>
      <c r="AJ12" s="156" t="s">
        <v>26</v>
      </c>
      <c r="AK12" s="156" t="s">
        <v>26</v>
      </c>
      <c r="AL12" s="156" t="s">
        <v>26</v>
      </c>
      <c r="AM12" s="156" t="s">
        <v>26</v>
      </c>
      <c r="AN12" s="156" t="s">
        <v>26</v>
      </c>
      <c r="AO12" s="156" t="s">
        <v>26</v>
      </c>
      <c r="AP12" s="156" t="s">
        <v>26</v>
      </c>
      <c r="AQ12" s="156" t="s">
        <v>26</v>
      </c>
      <c r="AR12" s="156" t="s">
        <v>26</v>
      </c>
      <c r="AS12" s="156" t="s">
        <v>26</v>
      </c>
      <c r="AU12" s="163">
        <v>0.35</v>
      </c>
      <c r="AV12" s="156" t="s">
        <v>32</v>
      </c>
      <c r="AW12" s="156" t="s">
        <v>32</v>
      </c>
      <c r="AX12" s="156" t="s">
        <v>32</v>
      </c>
      <c r="AY12" s="156" t="s">
        <v>32</v>
      </c>
      <c r="AZ12" s="156" t="s">
        <v>32</v>
      </c>
      <c r="BA12" s="156" t="s">
        <v>32</v>
      </c>
      <c r="BC12" s="156">
        <v>0.35</v>
      </c>
      <c r="BD12" s="156" t="s">
        <v>32</v>
      </c>
      <c r="BE12" s="156" t="s">
        <v>32</v>
      </c>
      <c r="BF12" s="156" t="s">
        <v>32</v>
      </c>
      <c r="BG12" s="156" t="s">
        <v>36</v>
      </c>
      <c r="BH12" s="156" t="s">
        <v>36</v>
      </c>
      <c r="BI12" s="156" t="s">
        <v>26</v>
      </c>
      <c r="BJ12" s="156" t="s">
        <v>26</v>
      </c>
      <c r="BK12" s="156" t="s">
        <v>26</v>
      </c>
      <c r="BL12" s="156" t="s">
        <v>26</v>
      </c>
      <c r="BM12" s="156" t="s">
        <v>26</v>
      </c>
      <c r="BN12" s="156" t="s">
        <v>26</v>
      </c>
      <c r="BO12" s="156" t="s">
        <v>26</v>
      </c>
      <c r="BQ12" s="156">
        <v>1.4999999999999999E-2</v>
      </c>
      <c r="BR12" s="156" t="s">
        <v>32</v>
      </c>
      <c r="BS12" s="156" t="s">
        <v>32</v>
      </c>
      <c r="BT12" s="156" t="s">
        <v>32</v>
      </c>
      <c r="BU12" s="156" t="s">
        <v>32</v>
      </c>
      <c r="BV12" s="156" t="s">
        <v>32</v>
      </c>
      <c r="BW12" s="156" t="s">
        <v>32</v>
      </c>
      <c r="BX12" s="156" t="s">
        <v>32</v>
      </c>
      <c r="BY12" s="156" t="s">
        <v>32</v>
      </c>
      <c r="BZ12" s="156" t="s">
        <v>32</v>
      </c>
      <c r="CA12" s="156" t="s">
        <v>32</v>
      </c>
      <c r="CB12" s="156" t="s">
        <v>32</v>
      </c>
      <c r="CC12" s="156" t="s">
        <v>32</v>
      </c>
      <c r="CD12" s="156" t="s">
        <v>32</v>
      </c>
      <c r="CE12" s="156" t="s">
        <v>32</v>
      </c>
      <c r="CF12" s="156" t="s">
        <v>32</v>
      </c>
      <c r="CG12" s="156" t="s">
        <v>32</v>
      </c>
      <c r="CH12" s="156" t="s">
        <v>32</v>
      </c>
      <c r="CI12" s="156" t="s">
        <v>32</v>
      </c>
      <c r="CJ12" s="156" t="s">
        <v>32</v>
      </c>
      <c r="CK12" s="156" t="s">
        <v>32</v>
      </c>
      <c r="CL12" s="156" t="s">
        <v>32</v>
      </c>
      <c r="CN12" s="156">
        <v>1.2500000000000001E-2</v>
      </c>
      <c r="CO12" s="156" t="s">
        <v>26</v>
      </c>
      <c r="CP12" s="156" t="s">
        <v>26</v>
      </c>
      <c r="CQ12" s="156" t="s">
        <v>26</v>
      </c>
      <c r="CR12" s="156" t="s">
        <v>26</v>
      </c>
      <c r="CS12" s="156" t="s">
        <v>26</v>
      </c>
      <c r="CT12" s="156" t="s">
        <v>26</v>
      </c>
      <c r="CU12" s="156" t="s">
        <v>26</v>
      </c>
      <c r="CV12" s="156" t="s">
        <v>26</v>
      </c>
      <c r="CW12" s="156" t="s">
        <v>26</v>
      </c>
      <c r="CX12" s="156" t="s">
        <v>26</v>
      </c>
      <c r="CY12" s="156" t="s">
        <v>26</v>
      </c>
      <c r="CZ12" s="156" t="s">
        <v>26</v>
      </c>
      <c r="DA12" s="156" t="s">
        <v>26</v>
      </c>
      <c r="DB12" s="156" t="s">
        <v>26</v>
      </c>
      <c r="DC12" s="156" t="s">
        <v>26</v>
      </c>
      <c r="DD12" s="156" t="s">
        <v>26</v>
      </c>
      <c r="DE12" s="156" t="s">
        <v>26</v>
      </c>
      <c r="DF12" s="156" t="s">
        <v>26</v>
      </c>
      <c r="DG12" s="156" t="s">
        <v>26</v>
      </c>
      <c r="DH12" s="156" t="s">
        <v>26</v>
      </c>
      <c r="DI12" s="156" t="s">
        <v>26</v>
      </c>
    </row>
    <row r="13" spans="2:113" x14ac:dyDescent="0.2">
      <c r="B13" s="162">
        <v>7.0000000000000007E-2</v>
      </c>
      <c r="C13" s="156">
        <v>-177.81793271269635</v>
      </c>
      <c r="D13" s="156">
        <v>191.26915576004103</v>
      </c>
      <c r="E13" s="156">
        <v>929.44333270550123</v>
      </c>
      <c r="F13" s="161">
        <v>1667.6175096509687</v>
      </c>
      <c r="I13" s="162">
        <v>7.0000000000000007E-2</v>
      </c>
      <c r="J13" s="156">
        <v>-107.38560248854992</v>
      </c>
      <c r="K13" s="156">
        <v>330.78420735459076</v>
      </c>
      <c r="L13" s="156">
        <v>1207.123827040894</v>
      </c>
      <c r="M13" s="156">
        <v>2083.4634467272263</v>
      </c>
      <c r="O13" s="161"/>
      <c r="Q13" s="164">
        <v>0.35</v>
      </c>
      <c r="R13" s="156" t="s">
        <v>32</v>
      </c>
      <c r="S13" s="156" t="s">
        <v>32</v>
      </c>
      <c r="T13" s="156" t="s">
        <v>36</v>
      </c>
      <c r="U13" s="156" t="s">
        <v>26</v>
      </c>
      <c r="V13" s="161" t="s">
        <v>26</v>
      </c>
      <c r="X13" s="163">
        <v>0.4</v>
      </c>
      <c r="Y13" s="156" t="s">
        <v>26</v>
      </c>
      <c r="Z13" s="156" t="s">
        <v>26</v>
      </c>
      <c r="AA13" s="156" t="s">
        <v>26</v>
      </c>
      <c r="AB13" s="156" t="s">
        <v>26</v>
      </c>
      <c r="AC13" s="156" t="s">
        <v>26</v>
      </c>
      <c r="AD13" s="156" t="s">
        <v>26</v>
      </c>
      <c r="AE13" s="156" t="s">
        <v>26</v>
      </c>
      <c r="AF13" s="156" t="s">
        <v>26</v>
      </c>
      <c r="AG13" s="156" t="s">
        <v>26</v>
      </c>
      <c r="AH13" s="156" t="s">
        <v>26</v>
      </c>
      <c r="AI13" s="156" t="s">
        <v>26</v>
      </c>
      <c r="AJ13" s="156" t="s">
        <v>26</v>
      </c>
      <c r="AK13" s="156" t="s">
        <v>26</v>
      </c>
      <c r="AL13" s="156" t="s">
        <v>26</v>
      </c>
      <c r="AM13" s="156" t="s">
        <v>26</v>
      </c>
      <c r="AN13" s="156" t="s">
        <v>26</v>
      </c>
      <c r="AO13" s="156" t="s">
        <v>26</v>
      </c>
      <c r="AP13" s="156" t="s">
        <v>26</v>
      </c>
      <c r="AQ13" s="156" t="s">
        <v>26</v>
      </c>
      <c r="AR13" s="156" t="s">
        <v>26</v>
      </c>
      <c r="AS13" s="156" t="s">
        <v>26</v>
      </c>
      <c r="AU13" s="163">
        <v>0.4</v>
      </c>
      <c r="AV13" s="156" t="s">
        <v>32</v>
      </c>
      <c r="AW13" s="156" t="s">
        <v>32</v>
      </c>
      <c r="AX13" s="156" t="s">
        <v>32</v>
      </c>
      <c r="AY13" s="156" t="s">
        <v>32</v>
      </c>
      <c r="AZ13" s="156" t="s">
        <v>32</v>
      </c>
      <c r="BA13" s="156" t="s">
        <v>32</v>
      </c>
      <c r="BC13" s="156">
        <v>0.4</v>
      </c>
      <c r="BD13" s="156" t="s">
        <v>32</v>
      </c>
      <c r="BE13" s="156" t="s">
        <v>32</v>
      </c>
      <c r="BF13" s="156" t="s">
        <v>32</v>
      </c>
      <c r="BG13" s="156" t="s">
        <v>36</v>
      </c>
      <c r="BH13" s="156" t="s">
        <v>26</v>
      </c>
      <c r="BI13" s="156" t="s">
        <v>26</v>
      </c>
      <c r="BJ13" s="156" t="s">
        <v>26</v>
      </c>
      <c r="BK13" s="156" t="s">
        <v>26</v>
      </c>
      <c r="BL13" s="156" t="s">
        <v>26</v>
      </c>
      <c r="BM13" s="156" t="s">
        <v>26</v>
      </c>
      <c r="BN13" s="156" t="s">
        <v>26</v>
      </c>
      <c r="BO13" s="156" t="s">
        <v>26</v>
      </c>
      <c r="BQ13" s="156">
        <v>1.7500000000000002E-2</v>
      </c>
      <c r="BR13" s="156" t="s">
        <v>32</v>
      </c>
      <c r="BS13" s="156" t="s">
        <v>32</v>
      </c>
      <c r="BT13" s="156" t="s">
        <v>32</v>
      </c>
      <c r="BU13" s="156" t="s">
        <v>32</v>
      </c>
      <c r="BV13" s="156" t="s">
        <v>32</v>
      </c>
      <c r="BW13" s="156" t="s">
        <v>32</v>
      </c>
      <c r="BX13" s="156" t="s">
        <v>32</v>
      </c>
      <c r="BY13" s="156" t="s">
        <v>32</v>
      </c>
      <c r="BZ13" s="156" t="s">
        <v>32</v>
      </c>
      <c r="CA13" s="156" t="s">
        <v>32</v>
      </c>
      <c r="CB13" s="156" t="s">
        <v>32</v>
      </c>
      <c r="CC13" s="156" t="s">
        <v>32</v>
      </c>
      <c r="CD13" s="156" t="s">
        <v>32</v>
      </c>
      <c r="CE13" s="156" t="s">
        <v>32</v>
      </c>
      <c r="CF13" s="156" t="s">
        <v>32</v>
      </c>
      <c r="CG13" s="156" t="s">
        <v>32</v>
      </c>
      <c r="CH13" s="156" t="s">
        <v>32</v>
      </c>
      <c r="CI13" s="156" t="s">
        <v>32</v>
      </c>
      <c r="CJ13" s="156" t="s">
        <v>32</v>
      </c>
      <c r="CK13" s="156" t="s">
        <v>32</v>
      </c>
      <c r="CL13" s="156" t="s">
        <v>32</v>
      </c>
      <c r="CN13" s="156">
        <v>1.4999999999999999E-2</v>
      </c>
      <c r="CO13" s="156" t="s">
        <v>26</v>
      </c>
      <c r="CP13" s="156" t="s">
        <v>26</v>
      </c>
      <c r="CQ13" s="156" t="s">
        <v>26</v>
      </c>
      <c r="CR13" s="156" t="s">
        <v>26</v>
      </c>
      <c r="CS13" s="156" t="s">
        <v>26</v>
      </c>
      <c r="CT13" s="156" t="s">
        <v>26</v>
      </c>
      <c r="CU13" s="156" t="s">
        <v>26</v>
      </c>
      <c r="CV13" s="156" t="s">
        <v>26</v>
      </c>
      <c r="CW13" s="156" t="s">
        <v>26</v>
      </c>
      <c r="CX13" s="156" t="s">
        <v>26</v>
      </c>
      <c r="CY13" s="156" t="s">
        <v>26</v>
      </c>
      <c r="CZ13" s="156" t="s">
        <v>26</v>
      </c>
      <c r="DA13" s="156" t="s">
        <v>26</v>
      </c>
      <c r="DB13" s="156" t="s">
        <v>26</v>
      </c>
      <c r="DC13" s="156" t="s">
        <v>26</v>
      </c>
      <c r="DD13" s="156" t="s">
        <v>26</v>
      </c>
      <c r="DE13" s="156" t="s">
        <v>26</v>
      </c>
      <c r="DF13" s="156" t="s">
        <v>26</v>
      </c>
      <c r="DG13" s="156" t="s">
        <v>26</v>
      </c>
      <c r="DH13" s="156" t="s">
        <v>26</v>
      </c>
      <c r="DI13" s="156" t="s">
        <v>26</v>
      </c>
    </row>
    <row r="14" spans="2:113" x14ac:dyDescent="0.2">
      <c r="B14" s="162">
        <v>0.08</v>
      </c>
      <c r="C14" s="156">
        <v>-196.0898948508293</v>
      </c>
      <c r="D14" s="156">
        <v>154.72523148377513</v>
      </c>
      <c r="E14" s="156">
        <v>856.35548415296944</v>
      </c>
      <c r="F14" s="161">
        <v>1557.9857368221565</v>
      </c>
      <c r="I14" s="162">
        <v>0.08</v>
      </c>
      <c r="J14" s="156">
        <v>-107.18839326968737</v>
      </c>
      <c r="K14" s="156">
        <v>330.98141657344968</v>
      </c>
      <c r="L14" s="156">
        <v>1207.3210362597456</v>
      </c>
      <c r="M14" s="156">
        <v>2083.6606559460924</v>
      </c>
      <c r="O14" s="161"/>
      <c r="Q14" s="164">
        <v>0.4</v>
      </c>
      <c r="R14" s="156" t="s">
        <v>32</v>
      </c>
      <c r="S14" s="156" t="s">
        <v>32</v>
      </c>
      <c r="T14" s="156" t="s">
        <v>36</v>
      </c>
      <c r="U14" s="156" t="s">
        <v>26</v>
      </c>
      <c r="V14" s="161" t="s">
        <v>26</v>
      </c>
      <c r="X14" s="163">
        <v>0.45</v>
      </c>
      <c r="Y14" s="156" t="s">
        <v>26</v>
      </c>
      <c r="Z14" s="156" t="s">
        <v>26</v>
      </c>
      <c r="AA14" s="156" t="s">
        <v>26</v>
      </c>
      <c r="AB14" s="156" t="s">
        <v>26</v>
      </c>
      <c r="AC14" s="156" t="s">
        <v>26</v>
      </c>
      <c r="AD14" s="156" t="s">
        <v>26</v>
      </c>
      <c r="AE14" s="156" t="s">
        <v>26</v>
      </c>
      <c r="AF14" s="156" t="s">
        <v>26</v>
      </c>
      <c r="AG14" s="156" t="s">
        <v>26</v>
      </c>
      <c r="AH14" s="156" t="s">
        <v>26</v>
      </c>
      <c r="AI14" s="156" t="s">
        <v>26</v>
      </c>
      <c r="AJ14" s="156" t="s">
        <v>26</v>
      </c>
      <c r="AK14" s="156" t="s">
        <v>26</v>
      </c>
      <c r="AL14" s="156" t="s">
        <v>26</v>
      </c>
      <c r="AM14" s="156" t="s">
        <v>26</v>
      </c>
      <c r="AN14" s="156" t="s">
        <v>26</v>
      </c>
      <c r="AO14" s="156" t="s">
        <v>26</v>
      </c>
      <c r="AP14" s="156" t="s">
        <v>26</v>
      </c>
      <c r="AQ14" s="156" t="s">
        <v>26</v>
      </c>
      <c r="AR14" s="156" t="s">
        <v>26</v>
      </c>
      <c r="AS14" s="156" t="s">
        <v>26</v>
      </c>
      <c r="AU14" s="163">
        <v>0.45</v>
      </c>
      <c r="AV14" s="156" t="s">
        <v>32</v>
      </c>
      <c r="AW14" s="156" t="s">
        <v>32</v>
      </c>
      <c r="AX14" s="156" t="s">
        <v>32</v>
      </c>
      <c r="AY14" s="156" t="s">
        <v>32</v>
      </c>
      <c r="AZ14" s="156" t="s">
        <v>32</v>
      </c>
      <c r="BA14" s="156" t="s">
        <v>32</v>
      </c>
      <c r="BC14" s="156">
        <v>0.45</v>
      </c>
      <c r="BD14" s="156" t="s">
        <v>32</v>
      </c>
      <c r="BE14" s="156" t="s">
        <v>32</v>
      </c>
      <c r="BF14" s="156" t="s">
        <v>32</v>
      </c>
      <c r="BG14" s="156" t="s">
        <v>36</v>
      </c>
      <c r="BH14" s="156" t="s">
        <v>26</v>
      </c>
      <c r="BI14" s="156" t="s">
        <v>26</v>
      </c>
      <c r="BJ14" s="156" t="s">
        <v>26</v>
      </c>
      <c r="BK14" s="156" t="s">
        <v>26</v>
      </c>
      <c r="BL14" s="156" t="s">
        <v>26</v>
      </c>
      <c r="BM14" s="156" t="s">
        <v>26</v>
      </c>
      <c r="BN14" s="156" t="s">
        <v>26</v>
      </c>
      <c r="BO14" s="156" t="s">
        <v>26</v>
      </c>
      <c r="BQ14" s="156">
        <v>0.02</v>
      </c>
      <c r="BR14" s="156" t="s">
        <v>32</v>
      </c>
      <c r="BS14" s="156" t="s">
        <v>32</v>
      </c>
      <c r="BT14" s="156" t="s">
        <v>32</v>
      </c>
      <c r="BU14" s="156" t="s">
        <v>32</v>
      </c>
      <c r="BV14" s="156" t="s">
        <v>32</v>
      </c>
      <c r="BW14" s="156" t="s">
        <v>32</v>
      </c>
      <c r="BX14" s="156" t="s">
        <v>32</v>
      </c>
      <c r="BY14" s="156" t="s">
        <v>32</v>
      </c>
      <c r="BZ14" s="156" t="s">
        <v>32</v>
      </c>
      <c r="CA14" s="156" t="s">
        <v>32</v>
      </c>
      <c r="CB14" s="156" t="s">
        <v>32</v>
      </c>
      <c r="CC14" s="156" t="s">
        <v>32</v>
      </c>
      <c r="CD14" s="156" t="s">
        <v>32</v>
      </c>
      <c r="CE14" s="156" t="s">
        <v>32</v>
      </c>
      <c r="CF14" s="156" t="s">
        <v>32</v>
      </c>
      <c r="CG14" s="156" t="s">
        <v>32</v>
      </c>
      <c r="CH14" s="156" t="s">
        <v>32</v>
      </c>
      <c r="CI14" s="156" t="s">
        <v>32</v>
      </c>
      <c r="CJ14" s="156" t="s">
        <v>32</v>
      </c>
      <c r="CK14" s="156" t="s">
        <v>32</v>
      </c>
      <c r="CL14" s="156" t="s">
        <v>32</v>
      </c>
      <c r="CN14" s="156">
        <v>1.7500000000000002E-2</v>
      </c>
      <c r="CO14" s="156" t="s">
        <v>26</v>
      </c>
      <c r="CP14" s="156" t="s">
        <v>26</v>
      </c>
      <c r="CQ14" s="156" t="s">
        <v>26</v>
      </c>
      <c r="CR14" s="156" t="s">
        <v>26</v>
      </c>
      <c r="CS14" s="156" t="s">
        <v>26</v>
      </c>
      <c r="CT14" s="156" t="s">
        <v>26</v>
      </c>
      <c r="CU14" s="156" t="s">
        <v>26</v>
      </c>
      <c r="CV14" s="156" t="s">
        <v>26</v>
      </c>
      <c r="CW14" s="156" t="s">
        <v>26</v>
      </c>
      <c r="CX14" s="156" t="s">
        <v>26</v>
      </c>
      <c r="CY14" s="156" t="s">
        <v>26</v>
      </c>
      <c r="CZ14" s="156" t="s">
        <v>26</v>
      </c>
      <c r="DA14" s="156" t="s">
        <v>26</v>
      </c>
      <c r="DB14" s="156" t="s">
        <v>26</v>
      </c>
      <c r="DC14" s="156" t="s">
        <v>26</v>
      </c>
      <c r="DD14" s="156" t="s">
        <v>26</v>
      </c>
      <c r="DE14" s="156" t="s">
        <v>26</v>
      </c>
      <c r="DF14" s="156" t="s">
        <v>26</v>
      </c>
      <c r="DG14" s="156" t="s">
        <v>26</v>
      </c>
      <c r="DH14" s="156" t="s">
        <v>26</v>
      </c>
      <c r="DI14" s="156" t="s">
        <v>26</v>
      </c>
    </row>
    <row r="15" spans="2:113" x14ac:dyDescent="0.2">
      <c r="B15" s="162">
        <v>0.09</v>
      </c>
      <c r="C15" s="156">
        <v>-213.6745972741046</v>
      </c>
      <c r="D15" s="156">
        <v>119.55582663722453</v>
      </c>
      <c r="E15" s="156">
        <v>786.01667445986823</v>
      </c>
      <c r="F15" s="161">
        <v>1452.477522282541</v>
      </c>
      <c r="I15" s="162">
        <v>0.09</v>
      </c>
      <c r="J15" s="156">
        <v>-107.05712821915586</v>
      </c>
      <c r="K15" s="156">
        <v>331.11268162398483</v>
      </c>
      <c r="L15" s="156">
        <v>1207.4523013102735</v>
      </c>
      <c r="M15" s="156">
        <v>2083.7919209965912</v>
      </c>
      <c r="O15" s="161"/>
      <c r="Q15" s="164">
        <v>0.45</v>
      </c>
      <c r="R15" s="156" t="s">
        <v>32</v>
      </c>
      <c r="S15" s="156" t="s">
        <v>32</v>
      </c>
      <c r="T15" s="156" t="s">
        <v>36</v>
      </c>
      <c r="U15" s="156" t="s">
        <v>26</v>
      </c>
      <c r="V15" s="161" t="s">
        <v>26</v>
      </c>
      <c r="X15" s="163">
        <v>0.5</v>
      </c>
      <c r="Y15" s="156" t="s">
        <v>26</v>
      </c>
      <c r="Z15" s="156" t="s">
        <v>26</v>
      </c>
      <c r="AA15" s="156" t="s">
        <v>26</v>
      </c>
      <c r="AB15" s="156" t="s">
        <v>26</v>
      </c>
      <c r="AC15" s="156" t="s">
        <v>26</v>
      </c>
      <c r="AD15" s="156" t="s">
        <v>26</v>
      </c>
      <c r="AE15" s="156" t="s">
        <v>26</v>
      </c>
      <c r="AF15" s="156" t="s">
        <v>26</v>
      </c>
      <c r="AG15" s="156" t="s">
        <v>26</v>
      </c>
      <c r="AH15" s="156" t="s">
        <v>26</v>
      </c>
      <c r="AI15" s="156" t="s">
        <v>26</v>
      </c>
      <c r="AJ15" s="156" t="s">
        <v>26</v>
      </c>
      <c r="AK15" s="156" t="s">
        <v>26</v>
      </c>
      <c r="AL15" s="156" t="s">
        <v>26</v>
      </c>
      <c r="AM15" s="156" t="s">
        <v>26</v>
      </c>
      <c r="AN15" s="156" t="s">
        <v>26</v>
      </c>
      <c r="AO15" s="156" t="s">
        <v>26</v>
      </c>
      <c r="AP15" s="156" t="s">
        <v>26</v>
      </c>
      <c r="AQ15" s="156" t="s">
        <v>26</v>
      </c>
      <c r="AR15" s="156" t="s">
        <v>26</v>
      </c>
      <c r="AS15" s="156" t="s">
        <v>26</v>
      </c>
      <c r="AU15" s="163">
        <v>0.5</v>
      </c>
      <c r="AV15" s="156" t="s">
        <v>32</v>
      </c>
      <c r="AW15" s="156" t="s">
        <v>32</v>
      </c>
      <c r="AX15" s="156" t="s">
        <v>32</v>
      </c>
      <c r="AY15" s="156" t="s">
        <v>32</v>
      </c>
      <c r="AZ15" s="156" t="s">
        <v>32</v>
      </c>
      <c r="BA15" s="156" t="s">
        <v>32</v>
      </c>
      <c r="BC15" s="156">
        <v>0.5</v>
      </c>
      <c r="BD15" s="156" t="s">
        <v>32</v>
      </c>
      <c r="BE15" s="156" t="s">
        <v>32</v>
      </c>
      <c r="BF15" s="156" t="s">
        <v>32</v>
      </c>
      <c r="BG15" s="156" t="s">
        <v>36</v>
      </c>
      <c r="BH15" s="156" t="s">
        <v>26</v>
      </c>
      <c r="BI15" s="156" t="s">
        <v>26</v>
      </c>
      <c r="BJ15" s="156" t="s">
        <v>26</v>
      </c>
      <c r="BK15" s="156" t="s">
        <v>26</v>
      </c>
      <c r="BL15" s="156" t="s">
        <v>26</v>
      </c>
      <c r="BM15" s="156" t="s">
        <v>26</v>
      </c>
      <c r="BN15" s="156" t="s">
        <v>26</v>
      </c>
      <c r="BO15" s="156" t="s">
        <v>26</v>
      </c>
      <c r="BQ15" s="156">
        <v>2.2499999999999999E-2</v>
      </c>
      <c r="BR15" s="156" t="s">
        <v>32</v>
      </c>
      <c r="BS15" s="156" t="s">
        <v>32</v>
      </c>
      <c r="BT15" s="156" t="s">
        <v>32</v>
      </c>
      <c r="BU15" s="156" t="s">
        <v>32</v>
      </c>
      <c r="BV15" s="156" t="s">
        <v>32</v>
      </c>
      <c r="BW15" s="156" t="s">
        <v>32</v>
      </c>
      <c r="BX15" s="156" t="s">
        <v>32</v>
      </c>
      <c r="BY15" s="156" t="s">
        <v>32</v>
      </c>
      <c r="BZ15" s="156" t="s">
        <v>32</v>
      </c>
      <c r="CA15" s="156" t="s">
        <v>32</v>
      </c>
      <c r="CB15" s="156" t="s">
        <v>32</v>
      </c>
      <c r="CC15" s="156" t="s">
        <v>32</v>
      </c>
      <c r="CD15" s="156" t="s">
        <v>32</v>
      </c>
      <c r="CE15" s="156" t="s">
        <v>32</v>
      </c>
      <c r="CF15" s="156" t="s">
        <v>32</v>
      </c>
      <c r="CG15" s="156" t="s">
        <v>32</v>
      </c>
      <c r="CH15" s="156" t="s">
        <v>32</v>
      </c>
      <c r="CI15" s="156" t="s">
        <v>32</v>
      </c>
      <c r="CJ15" s="156" t="s">
        <v>32</v>
      </c>
      <c r="CK15" s="156" t="s">
        <v>32</v>
      </c>
      <c r="CL15" s="156" t="s">
        <v>32</v>
      </c>
      <c r="CN15" s="156">
        <v>0.02</v>
      </c>
      <c r="CO15" s="156" t="s">
        <v>26</v>
      </c>
      <c r="CP15" s="156" t="s">
        <v>26</v>
      </c>
      <c r="CQ15" s="156" t="s">
        <v>26</v>
      </c>
      <c r="CR15" s="156" t="s">
        <v>26</v>
      </c>
      <c r="CS15" s="156" t="s">
        <v>26</v>
      </c>
      <c r="CT15" s="156" t="s">
        <v>26</v>
      </c>
      <c r="CU15" s="156" t="s">
        <v>26</v>
      </c>
      <c r="CV15" s="156" t="s">
        <v>26</v>
      </c>
      <c r="CW15" s="156" t="s">
        <v>26</v>
      </c>
      <c r="CX15" s="156" t="s">
        <v>26</v>
      </c>
      <c r="CY15" s="156" t="s">
        <v>26</v>
      </c>
      <c r="CZ15" s="156" t="s">
        <v>26</v>
      </c>
      <c r="DA15" s="156" t="s">
        <v>26</v>
      </c>
      <c r="DB15" s="156" t="s">
        <v>26</v>
      </c>
      <c r="DC15" s="156" t="s">
        <v>26</v>
      </c>
      <c r="DD15" s="156" t="s">
        <v>26</v>
      </c>
      <c r="DE15" s="156" t="s">
        <v>26</v>
      </c>
      <c r="DF15" s="156" t="s">
        <v>26</v>
      </c>
      <c r="DG15" s="156" t="s">
        <v>26</v>
      </c>
      <c r="DH15" s="156" t="s">
        <v>26</v>
      </c>
      <c r="DI15" s="156" t="s">
        <v>26</v>
      </c>
    </row>
    <row r="16" spans="2:113" x14ac:dyDescent="0.2">
      <c r="B16" s="162">
        <v>0.1</v>
      </c>
      <c r="C16" s="156">
        <v>-230.56725036306307</v>
      </c>
      <c r="D16" s="156">
        <v>85.77052045930759</v>
      </c>
      <c r="E16" s="156">
        <v>718.44606210403435</v>
      </c>
      <c r="F16" s="161">
        <v>1351.1216037487611</v>
      </c>
      <c r="I16" s="162">
        <v>0.1</v>
      </c>
      <c r="J16" s="156">
        <v>-106.98386752300212</v>
      </c>
      <c r="K16" s="156">
        <v>331.18594232014584</v>
      </c>
      <c r="L16" s="156">
        <v>1207.5255620064272</v>
      </c>
      <c r="M16" s="156">
        <v>2083.8651816927886</v>
      </c>
      <c r="O16" s="161"/>
      <c r="Q16" s="164">
        <v>0.5</v>
      </c>
      <c r="R16" s="156" t="s">
        <v>32</v>
      </c>
      <c r="S16" s="156" t="s">
        <v>32</v>
      </c>
      <c r="T16" s="156" t="s">
        <v>36</v>
      </c>
      <c r="U16" s="156" t="s">
        <v>26</v>
      </c>
      <c r="V16" s="161" t="s">
        <v>26</v>
      </c>
      <c r="X16" s="163">
        <v>0.55000000000000004</v>
      </c>
      <c r="Y16" s="156" t="s">
        <v>26</v>
      </c>
      <c r="Z16" s="156" t="s">
        <v>26</v>
      </c>
      <c r="AA16" s="156" t="s">
        <v>26</v>
      </c>
      <c r="AB16" s="156" t="s">
        <v>26</v>
      </c>
      <c r="AC16" s="156" t="s">
        <v>26</v>
      </c>
      <c r="AD16" s="156" t="s">
        <v>26</v>
      </c>
      <c r="AE16" s="156" t="s">
        <v>26</v>
      </c>
      <c r="AF16" s="156" t="s">
        <v>26</v>
      </c>
      <c r="AG16" s="156" t="s">
        <v>26</v>
      </c>
      <c r="AH16" s="156" t="s">
        <v>26</v>
      </c>
      <c r="AI16" s="156" t="s">
        <v>26</v>
      </c>
      <c r="AJ16" s="156" t="s">
        <v>26</v>
      </c>
      <c r="AK16" s="156" t="s">
        <v>26</v>
      </c>
      <c r="AL16" s="156" t="s">
        <v>26</v>
      </c>
      <c r="AM16" s="156" t="s">
        <v>26</v>
      </c>
      <c r="AN16" s="156" t="s">
        <v>26</v>
      </c>
      <c r="AO16" s="156" t="s">
        <v>26</v>
      </c>
      <c r="AP16" s="156" t="s">
        <v>26</v>
      </c>
      <c r="AQ16" s="156" t="s">
        <v>26</v>
      </c>
      <c r="AR16" s="156" t="s">
        <v>26</v>
      </c>
      <c r="AS16" s="156" t="s">
        <v>26</v>
      </c>
      <c r="AU16" s="163">
        <v>0.55000000000000004</v>
      </c>
      <c r="AV16" s="156" t="s">
        <v>32</v>
      </c>
      <c r="AW16" s="156" t="s">
        <v>32</v>
      </c>
      <c r="AX16" s="156" t="s">
        <v>32</v>
      </c>
      <c r="AY16" s="156" t="s">
        <v>32</v>
      </c>
      <c r="AZ16" s="156" t="s">
        <v>32</v>
      </c>
      <c r="BA16" s="156" t="s">
        <v>32</v>
      </c>
      <c r="BC16" s="156">
        <v>0.55000000000000004</v>
      </c>
      <c r="BD16" s="156" t="s">
        <v>32</v>
      </c>
      <c r="BE16" s="156" t="s">
        <v>32</v>
      </c>
      <c r="BF16" s="156" t="s">
        <v>32</v>
      </c>
      <c r="BG16" s="156" t="s">
        <v>36</v>
      </c>
      <c r="BH16" s="156" t="s">
        <v>26</v>
      </c>
      <c r="BI16" s="156" t="s">
        <v>26</v>
      </c>
      <c r="BJ16" s="156" t="s">
        <v>26</v>
      </c>
      <c r="BK16" s="156" t="s">
        <v>26</v>
      </c>
      <c r="BL16" s="156" t="s">
        <v>26</v>
      </c>
      <c r="BM16" s="156" t="s">
        <v>26</v>
      </c>
      <c r="BN16" s="156" t="s">
        <v>26</v>
      </c>
      <c r="BO16" s="156" t="s">
        <v>26</v>
      </c>
      <c r="BQ16" s="156">
        <v>2.5000000000000001E-2</v>
      </c>
      <c r="BR16" s="156" t="s">
        <v>32</v>
      </c>
      <c r="BS16" s="156" t="s">
        <v>32</v>
      </c>
      <c r="BT16" s="156" t="s">
        <v>32</v>
      </c>
      <c r="BU16" s="156" t="s">
        <v>32</v>
      </c>
      <c r="BV16" s="156" t="s">
        <v>32</v>
      </c>
      <c r="BW16" s="156" t="s">
        <v>32</v>
      </c>
      <c r="BX16" s="156" t="s">
        <v>32</v>
      </c>
      <c r="BY16" s="156" t="s">
        <v>32</v>
      </c>
      <c r="BZ16" s="156" t="s">
        <v>32</v>
      </c>
      <c r="CA16" s="156" t="s">
        <v>32</v>
      </c>
      <c r="CB16" s="156" t="s">
        <v>32</v>
      </c>
      <c r="CC16" s="156" t="s">
        <v>32</v>
      </c>
      <c r="CD16" s="156" t="s">
        <v>32</v>
      </c>
      <c r="CE16" s="156" t="s">
        <v>32</v>
      </c>
      <c r="CF16" s="156" t="s">
        <v>32</v>
      </c>
      <c r="CG16" s="156" t="s">
        <v>32</v>
      </c>
      <c r="CH16" s="156" t="s">
        <v>32</v>
      </c>
      <c r="CI16" s="156" t="s">
        <v>32</v>
      </c>
      <c r="CJ16" s="156" t="s">
        <v>32</v>
      </c>
      <c r="CK16" s="156" t="s">
        <v>32</v>
      </c>
      <c r="CL16" s="156" t="s">
        <v>32</v>
      </c>
      <c r="CN16" s="156">
        <v>2.2499999999999999E-2</v>
      </c>
      <c r="CO16" s="156" t="s">
        <v>26</v>
      </c>
      <c r="CP16" s="156" t="s">
        <v>26</v>
      </c>
      <c r="CQ16" s="156" t="s">
        <v>26</v>
      </c>
      <c r="CR16" s="156" t="s">
        <v>26</v>
      </c>
      <c r="CS16" s="156" t="s">
        <v>26</v>
      </c>
      <c r="CT16" s="156" t="s">
        <v>26</v>
      </c>
      <c r="CU16" s="156" t="s">
        <v>26</v>
      </c>
      <c r="CV16" s="156" t="s">
        <v>26</v>
      </c>
      <c r="CW16" s="156" t="s">
        <v>26</v>
      </c>
      <c r="CX16" s="156" t="s">
        <v>26</v>
      </c>
      <c r="CY16" s="156" t="s">
        <v>26</v>
      </c>
      <c r="CZ16" s="156" t="s">
        <v>26</v>
      </c>
      <c r="DA16" s="156" t="s">
        <v>26</v>
      </c>
      <c r="DB16" s="156" t="s">
        <v>26</v>
      </c>
      <c r="DC16" s="156" t="s">
        <v>26</v>
      </c>
      <c r="DD16" s="156" t="s">
        <v>26</v>
      </c>
      <c r="DE16" s="156" t="s">
        <v>26</v>
      </c>
      <c r="DF16" s="156" t="s">
        <v>26</v>
      </c>
      <c r="DG16" s="156" t="s">
        <v>26</v>
      </c>
      <c r="DH16" s="156" t="s">
        <v>26</v>
      </c>
      <c r="DI16" s="156" t="s">
        <v>26</v>
      </c>
    </row>
    <row r="17" spans="2:113" x14ac:dyDescent="0.2">
      <c r="B17" s="162">
        <v>0.11</v>
      </c>
      <c r="C17" s="156">
        <v>-246.76958393461609</v>
      </c>
      <c r="D17" s="156">
        <v>53.365853316201537</v>
      </c>
      <c r="E17" s="156">
        <v>653.63672781782225</v>
      </c>
      <c r="F17" s="161">
        <v>1253.9076023194648</v>
      </c>
      <c r="I17" s="162">
        <v>0.11</v>
      </c>
      <c r="J17" s="156">
        <v>-106.96156691361466</v>
      </c>
      <c r="K17" s="156">
        <v>331.2082429295333</v>
      </c>
      <c r="L17" s="156">
        <v>1207.5478626158147</v>
      </c>
      <c r="M17" s="156">
        <v>2083.887482302147</v>
      </c>
      <c r="O17" s="161"/>
      <c r="Q17" s="164">
        <v>0.55000000000000004</v>
      </c>
      <c r="R17" s="156" t="s">
        <v>32</v>
      </c>
      <c r="S17" s="156" t="s">
        <v>32</v>
      </c>
      <c r="T17" s="156" t="s">
        <v>36</v>
      </c>
      <c r="U17" s="156" t="s">
        <v>26</v>
      </c>
      <c r="V17" s="161" t="s">
        <v>26</v>
      </c>
      <c r="X17" s="163">
        <v>0.6</v>
      </c>
      <c r="Y17" s="156" t="s">
        <v>26</v>
      </c>
      <c r="Z17" s="156" t="s">
        <v>26</v>
      </c>
      <c r="AA17" s="156" t="s">
        <v>26</v>
      </c>
      <c r="AB17" s="156" t="s">
        <v>26</v>
      </c>
      <c r="AC17" s="156" t="s">
        <v>26</v>
      </c>
      <c r="AD17" s="156" t="s">
        <v>26</v>
      </c>
      <c r="AE17" s="156" t="s">
        <v>26</v>
      </c>
      <c r="AF17" s="156" t="s">
        <v>26</v>
      </c>
      <c r="AG17" s="156" t="s">
        <v>26</v>
      </c>
      <c r="AH17" s="156" t="s">
        <v>26</v>
      </c>
      <c r="AI17" s="156" t="s">
        <v>26</v>
      </c>
      <c r="AJ17" s="156" t="s">
        <v>26</v>
      </c>
      <c r="AK17" s="156" t="s">
        <v>26</v>
      </c>
      <c r="AL17" s="156" t="s">
        <v>26</v>
      </c>
      <c r="AM17" s="156" t="s">
        <v>26</v>
      </c>
      <c r="AN17" s="156" t="s">
        <v>26</v>
      </c>
      <c r="AO17" s="156" t="s">
        <v>26</v>
      </c>
      <c r="AP17" s="156" t="s">
        <v>26</v>
      </c>
      <c r="AQ17" s="156" t="s">
        <v>26</v>
      </c>
      <c r="AR17" s="156" t="s">
        <v>26</v>
      </c>
      <c r="AS17" s="156" t="s">
        <v>26</v>
      </c>
      <c r="AU17" s="163">
        <v>0.6</v>
      </c>
      <c r="AV17" s="156" t="s">
        <v>32</v>
      </c>
      <c r="AW17" s="156" t="s">
        <v>32</v>
      </c>
      <c r="AX17" s="156" t="s">
        <v>32</v>
      </c>
      <c r="AY17" s="156" t="s">
        <v>32</v>
      </c>
      <c r="AZ17" s="156" t="s">
        <v>32</v>
      </c>
      <c r="BA17" s="156" t="s">
        <v>32</v>
      </c>
      <c r="BC17" s="156">
        <v>0.6</v>
      </c>
      <c r="BD17" s="156" t="s">
        <v>32</v>
      </c>
      <c r="BE17" s="156" t="s">
        <v>32</v>
      </c>
      <c r="BF17" s="156" t="s">
        <v>32</v>
      </c>
      <c r="BG17" s="156" t="s">
        <v>26</v>
      </c>
      <c r="BH17" s="156" t="s">
        <v>26</v>
      </c>
      <c r="BI17" s="156" t="s">
        <v>26</v>
      </c>
      <c r="BJ17" s="156" t="s">
        <v>26</v>
      </c>
      <c r="BK17" s="156" t="s">
        <v>26</v>
      </c>
      <c r="BL17" s="156" t="s">
        <v>26</v>
      </c>
      <c r="BM17" s="156" t="s">
        <v>26</v>
      </c>
      <c r="BN17" s="156" t="s">
        <v>26</v>
      </c>
      <c r="BO17" s="156" t="s">
        <v>26</v>
      </c>
      <c r="BQ17" s="156">
        <v>2.75E-2</v>
      </c>
      <c r="BR17" s="156" t="s">
        <v>32</v>
      </c>
      <c r="BS17" s="156" t="s">
        <v>32</v>
      </c>
      <c r="BT17" s="156" t="s">
        <v>32</v>
      </c>
      <c r="BU17" s="156" t="s">
        <v>32</v>
      </c>
      <c r="BV17" s="156" t="s">
        <v>32</v>
      </c>
      <c r="BW17" s="156" t="s">
        <v>32</v>
      </c>
      <c r="BX17" s="156" t="s">
        <v>32</v>
      </c>
      <c r="BY17" s="156" t="s">
        <v>32</v>
      </c>
      <c r="BZ17" s="156" t="s">
        <v>32</v>
      </c>
      <c r="CA17" s="156" t="s">
        <v>32</v>
      </c>
      <c r="CB17" s="156" t="s">
        <v>32</v>
      </c>
      <c r="CC17" s="156" t="s">
        <v>32</v>
      </c>
      <c r="CD17" s="156" t="s">
        <v>32</v>
      </c>
      <c r="CE17" s="156" t="s">
        <v>32</v>
      </c>
      <c r="CF17" s="156" t="s">
        <v>32</v>
      </c>
      <c r="CG17" s="156" t="s">
        <v>32</v>
      </c>
      <c r="CH17" s="156" t="s">
        <v>32</v>
      </c>
      <c r="CI17" s="156" t="s">
        <v>32</v>
      </c>
      <c r="CJ17" s="156" t="s">
        <v>32</v>
      </c>
      <c r="CK17" s="156" t="s">
        <v>32</v>
      </c>
      <c r="CL17" s="156" t="s">
        <v>32</v>
      </c>
      <c r="CN17" s="156">
        <v>2.5000000000000001E-2</v>
      </c>
      <c r="CO17" s="156" t="s">
        <v>26</v>
      </c>
      <c r="CP17" s="156" t="s">
        <v>26</v>
      </c>
      <c r="CQ17" s="156" t="s">
        <v>26</v>
      </c>
      <c r="CR17" s="156" t="s">
        <v>26</v>
      </c>
      <c r="CS17" s="156" t="s">
        <v>26</v>
      </c>
      <c r="CT17" s="156" t="s">
        <v>26</v>
      </c>
      <c r="CU17" s="156" t="s">
        <v>26</v>
      </c>
      <c r="CV17" s="156" t="s">
        <v>26</v>
      </c>
      <c r="CW17" s="156" t="s">
        <v>26</v>
      </c>
      <c r="CX17" s="156" t="s">
        <v>26</v>
      </c>
      <c r="CY17" s="156" t="s">
        <v>26</v>
      </c>
      <c r="CZ17" s="156" t="s">
        <v>26</v>
      </c>
      <c r="DA17" s="156" t="s">
        <v>26</v>
      </c>
      <c r="DB17" s="156" t="s">
        <v>26</v>
      </c>
      <c r="DC17" s="156" t="s">
        <v>26</v>
      </c>
      <c r="DD17" s="156" t="s">
        <v>26</v>
      </c>
      <c r="DE17" s="156" t="s">
        <v>26</v>
      </c>
      <c r="DF17" s="156" t="s">
        <v>26</v>
      </c>
      <c r="DG17" s="156" t="s">
        <v>26</v>
      </c>
      <c r="DH17" s="156" t="s">
        <v>26</v>
      </c>
      <c r="DI17" s="156" t="s">
        <v>26</v>
      </c>
    </row>
    <row r="18" spans="2:113" x14ac:dyDescent="0.2">
      <c r="B18" s="162">
        <v>0.12</v>
      </c>
      <c r="C18" s="156">
        <v>-262.2885498912583</v>
      </c>
      <c r="D18" s="156">
        <v>22.327921402917127</v>
      </c>
      <c r="E18" s="156">
        <v>591.56086399125343</v>
      </c>
      <c r="F18" s="161">
        <v>1160.7938065796043</v>
      </c>
      <c r="I18" s="162">
        <v>0.12</v>
      </c>
      <c r="J18" s="156">
        <v>-106.98397373037733</v>
      </c>
      <c r="K18" s="156">
        <v>331.18583611276699</v>
      </c>
      <c r="L18" s="156">
        <v>1207.5254557990411</v>
      </c>
      <c r="M18" s="156">
        <v>2083.8650754854025</v>
      </c>
      <c r="O18" s="161"/>
      <c r="Q18" s="164">
        <v>0.6</v>
      </c>
      <c r="R18" s="156" t="s">
        <v>32</v>
      </c>
      <c r="S18" s="156" t="s">
        <v>32</v>
      </c>
      <c r="T18" s="156" t="s">
        <v>26</v>
      </c>
      <c r="U18" s="156" t="s">
        <v>26</v>
      </c>
      <c r="V18" s="161" t="s">
        <v>26</v>
      </c>
      <c r="X18" s="163">
        <v>0.65</v>
      </c>
      <c r="Y18" s="156" t="s">
        <v>26</v>
      </c>
      <c r="Z18" s="156" t="s">
        <v>26</v>
      </c>
      <c r="AA18" s="156" t="s">
        <v>26</v>
      </c>
      <c r="AB18" s="156" t="s">
        <v>26</v>
      </c>
      <c r="AC18" s="156" t="s">
        <v>26</v>
      </c>
      <c r="AD18" s="156" t="s">
        <v>26</v>
      </c>
      <c r="AE18" s="156" t="s">
        <v>26</v>
      </c>
      <c r="AF18" s="156" t="s">
        <v>26</v>
      </c>
      <c r="AG18" s="156" t="s">
        <v>26</v>
      </c>
      <c r="AH18" s="156" t="s">
        <v>26</v>
      </c>
      <c r="AI18" s="156" t="s">
        <v>26</v>
      </c>
      <c r="AJ18" s="156" t="s">
        <v>26</v>
      </c>
      <c r="AK18" s="156" t="s">
        <v>26</v>
      </c>
      <c r="AL18" s="156" t="s">
        <v>26</v>
      </c>
      <c r="AM18" s="156" t="s">
        <v>26</v>
      </c>
      <c r="AN18" s="156" t="s">
        <v>26</v>
      </c>
      <c r="AO18" s="156" t="s">
        <v>26</v>
      </c>
      <c r="AP18" s="156" t="s">
        <v>26</v>
      </c>
      <c r="AQ18" s="156" t="s">
        <v>26</v>
      </c>
      <c r="AR18" s="156" t="s">
        <v>26</v>
      </c>
      <c r="AS18" s="156" t="s">
        <v>26</v>
      </c>
      <c r="AU18" s="163">
        <v>0.65</v>
      </c>
      <c r="AV18" s="156" t="s">
        <v>32</v>
      </c>
      <c r="AW18" s="156" t="s">
        <v>32</v>
      </c>
      <c r="AX18" s="156" t="s">
        <v>32</v>
      </c>
      <c r="AY18" s="156" t="s">
        <v>32</v>
      </c>
      <c r="AZ18" s="156" t="s">
        <v>32</v>
      </c>
      <c r="BA18" s="156" t="s">
        <v>32</v>
      </c>
      <c r="BC18" s="156">
        <v>0.65</v>
      </c>
      <c r="BD18" s="156" t="s">
        <v>32</v>
      </c>
      <c r="BE18" s="156" t="s">
        <v>32</v>
      </c>
      <c r="BF18" s="156" t="s">
        <v>32</v>
      </c>
      <c r="BG18" s="156" t="s">
        <v>26</v>
      </c>
      <c r="BH18" s="156" t="s">
        <v>26</v>
      </c>
      <c r="BI18" s="156" t="s">
        <v>26</v>
      </c>
      <c r="BJ18" s="156" t="s">
        <v>26</v>
      </c>
      <c r="BK18" s="156" t="s">
        <v>26</v>
      </c>
      <c r="BL18" s="156" t="s">
        <v>26</v>
      </c>
      <c r="BM18" s="156" t="s">
        <v>26</v>
      </c>
      <c r="BN18" s="156" t="s">
        <v>26</v>
      </c>
      <c r="BO18" s="156" t="s">
        <v>26</v>
      </c>
      <c r="BQ18" s="156">
        <v>0.03</v>
      </c>
      <c r="BR18" s="156" t="s">
        <v>32</v>
      </c>
      <c r="BS18" s="156" t="s">
        <v>32</v>
      </c>
      <c r="BT18" s="156" t="s">
        <v>32</v>
      </c>
      <c r="BU18" s="156" t="s">
        <v>32</v>
      </c>
      <c r="BV18" s="156" t="s">
        <v>32</v>
      </c>
      <c r="BW18" s="156" t="s">
        <v>32</v>
      </c>
      <c r="BX18" s="156" t="s">
        <v>32</v>
      </c>
      <c r="BY18" s="156" t="s">
        <v>32</v>
      </c>
      <c r="BZ18" s="156" t="s">
        <v>32</v>
      </c>
      <c r="CA18" s="156" t="s">
        <v>32</v>
      </c>
      <c r="CB18" s="156" t="s">
        <v>32</v>
      </c>
      <c r="CC18" s="156" t="s">
        <v>32</v>
      </c>
      <c r="CD18" s="156" t="s">
        <v>32</v>
      </c>
      <c r="CE18" s="156" t="s">
        <v>32</v>
      </c>
      <c r="CF18" s="156" t="s">
        <v>32</v>
      </c>
      <c r="CG18" s="156" t="s">
        <v>32</v>
      </c>
      <c r="CH18" s="156" t="s">
        <v>32</v>
      </c>
      <c r="CI18" s="156" t="s">
        <v>32</v>
      </c>
      <c r="CJ18" s="156" t="s">
        <v>32</v>
      </c>
      <c r="CK18" s="156" t="s">
        <v>32</v>
      </c>
      <c r="CL18" s="156" t="s">
        <v>32</v>
      </c>
      <c r="CN18" s="156">
        <v>2.75E-2</v>
      </c>
      <c r="CO18" s="156" t="s">
        <v>26</v>
      </c>
      <c r="CP18" s="156" t="s">
        <v>26</v>
      </c>
      <c r="CQ18" s="156" t="s">
        <v>26</v>
      </c>
      <c r="CR18" s="156" t="s">
        <v>26</v>
      </c>
      <c r="CS18" s="156" t="s">
        <v>26</v>
      </c>
      <c r="CT18" s="156" t="s">
        <v>26</v>
      </c>
      <c r="CU18" s="156" t="s">
        <v>26</v>
      </c>
      <c r="CV18" s="156" t="s">
        <v>26</v>
      </c>
      <c r="CW18" s="156" t="s">
        <v>26</v>
      </c>
      <c r="CX18" s="156" t="s">
        <v>26</v>
      </c>
      <c r="CY18" s="156" t="s">
        <v>26</v>
      </c>
      <c r="CZ18" s="156" t="s">
        <v>26</v>
      </c>
      <c r="DA18" s="156" t="s">
        <v>26</v>
      </c>
      <c r="DB18" s="156" t="s">
        <v>26</v>
      </c>
      <c r="DC18" s="156" t="s">
        <v>26</v>
      </c>
      <c r="DD18" s="156" t="s">
        <v>26</v>
      </c>
      <c r="DE18" s="156" t="s">
        <v>26</v>
      </c>
      <c r="DF18" s="156" t="s">
        <v>26</v>
      </c>
      <c r="DG18" s="156" t="s">
        <v>26</v>
      </c>
      <c r="DH18" s="156" t="s">
        <v>26</v>
      </c>
      <c r="DI18" s="156" t="s">
        <v>26</v>
      </c>
    </row>
    <row r="19" spans="2:113" x14ac:dyDescent="0.2">
      <c r="B19" s="162">
        <v>0.13</v>
      </c>
      <c r="C19" s="156">
        <v>-277.1352388703308</v>
      </c>
      <c r="D19" s="163">
        <v>-7.3654565552278655</v>
      </c>
      <c r="E19" s="156">
        <v>532.17410807496344</v>
      </c>
      <c r="F19" s="161">
        <v>1071.7136727051693</v>
      </c>
      <c r="I19" s="162">
        <v>0.13</v>
      </c>
      <c r="J19" s="156">
        <v>-107.04553566270988</v>
      </c>
      <c r="K19" s="156">
        <v>331.1242741804308</v>
      </c>
      <c r="L19" s="156">
        <v>1207.4638938667194</v>
      </c>
      <c r="M19" s="156">
        <v>2083.8035135530517</v>
      </c>
      <c r="O19" s="161"/>
      <c r="Q19" s="164">
        <v>0.65</v>
      </c>
      <c r="R19" s="156" t="s">
        <v>32</v>
      </c>
      <c r="S19" s="156" t="s">
        <v>32</v>
      </c>
      <c r="T19" s="156" t="s">
        <v>26</v>
      </c>
      <c r="U19" s="156" t="s">
        <v>26</v>
      </c>
      <c r="V19" s="161" t="s">
        <v>26</v>
      </c>
      <c r="X19" s="163">
        <v>0.7</v>
      </c>
      <c r="Y19" s="156" t="s">
        <v>26</v>
      </c>
      <c r="Z19" s="156" t="s">
        <v>26</v>
      </c>
      <c r="AA19" s="156" t="s">
        <v>26</v>
      </c>
      <c r="AB19" s="156" t="s">
        <v>26</v>
      </c>
      <c r="AC19" s="156" t="s">
        <v>26</v>
      </c>
      <c r="AD19" s="156" t="s">
        <v>26</v>
      </c>
      <c r="AE19" s="156" t="s">
        <v>26</v>
      </c>
      <c r="AF19" s="156" t="s">
        <v>26</v>
      </c>
      <c r="AG19" s="156" t="s">
        <v>26</v>
      </c>
      <c r="AH19" s="156" t="s">
        <v>26</v>
      </c>
      <c r="AI19" s="156" t="s">
        <v>26</v>
      </c>
      <c r="AJ19" s="156" t="s">
        <v>26</v>
      </c>
      <c r="AK19" s="156" t="s">
        <v>26</v>
      </c>
      <c r="AL19" s="156" t="s">
        <v>26</v>
      </c>
      <c r="AM19" s="156" t="s">
        <v>26</v>
      </c>
      <c r="AN19" s="156" t="s">
        <v>26</v>
      </c>
      <c r="AO19" s="156" t="s">
        <v>26</v>
      </c>
      <c r="AP19" s="156" t="s">
        <v>26</v>
      </c>
      <c r="AQ19" s="156" t="s">
        <v>26</v>
      </c>
      <c r="AR19" s="156" t="s">
        <v>26</v>
      </c>
      <c r="AS19" s="156" t="s">
        <v>26</v>
      </c>
      <c r="AU19" s="163">
        <v>0.7</v>
      </c>
      <c r="AV19" s="156" t="s">
        <v>32</v>
      </c>
      <c r="AW19" s="156" t="s">
        <v>32</v>
      </c>
      <c r="AX19" s="156" t="s">
        <v>32</v>
      </c>
      <c r="AY19" s="156" t="s">
        <v>32</v>
      </c>
      <c r="AZ19" s="156" t="s">
        <v>32</v>
      </c>
      <c r="BA19" s="156" t="s">
        <v>32</v>
      </c>
      <c r="BC19" s="156">
        <v>0.7</v>
      </c>
      <c r="BD19" s="156" t="s">
        <v>32</v>
      </c>
      <c r="BE19" s="156" t="s">
        <v>32</v>
      </c>
      <c r="BF19" s="156" t="s">
        <v>32</v>
      </c>
      <c r="BG19" s="156" t="s">
        <v>26</v>
      </c>
      <c r="BH19" s="156" t="s">
        <v>26</v>
      </c>
      <c r="BI19" s="156" t="s">
        <v>26</v>
      </c>
      <c r="BJ19" s="156" t="s">
        <v>26</v>
      </c>
      <c r="BK19" s="156" t="s">
        <v>26</v>
      </c>
      <c r="BL19" s="156" t="s">
        <v>26</v>
      </c>
      <c r="BM19" s="156" t="s">
        <v>26</v>
      </c>
      <c r="BN19" s="156" t="s">
        <v>26</v>
      </c>
      <c r="BO19" s="156" t="s">
        <v>26</v>
      </c>
      <c r="BQ19" s="156">
        <v>3.2500000000000001E-2</v>
      </c>
      <c r="BR19" s="156" t="s">
        <v>32</v>
      </c>
      <c r="BS19" s="156" t="s">
        <v>32</v>
      </c>
      <c r="BT19" s="156" t="s">
        <v>32</v>
      </c>
      <c r="BU19" s="156" t="s">
        <v>32</v>
      </c>
      <c r="BV19" s="156" t="s">
        <v>32</v>
      </c>
      <c r="BW19" s="156" t="s">
        <v>32</v>
      </c>
      <c r="BX19" s="156" t="s">
        <v>32</v>
      </c>
      <c r="BY19" s="156" t="s">
        <v>32</v>
      </c>
      <c r="BZ19" s="156" t="s">
        <v>32</v>
      </c>
      <c r="CA19" s="156" t="s">
        <v>32</v>
      </c>
      <c r="CB19" s="156" t="s">
        <v>32</v>
      </c>
      <c r="CC19" s="156" t="s">
        <v>32</v>
      </c>
      <c r="CD19" s="156" t="s">
        <v>32</v>
      </c>
      <c r="CE19" s="156" t="s">
        <v>32</v>
      </c>
      <c r="CF19" s="156" t="s">
        <v>32</v>
      </c>
      <c r="CG19" s="156" t="s">
        <v>32</v>
      </c>
      <c r="CH19" s="156" t="s">
        <v>32</v>
      </c>
      <c r="CI19" s="156" t="s">
        <v>32</v>
      </c>
      <c r="CJ19" s="156" t="s">
        <v>32</v>
      </c>
      <c r="CK19" s="156" t="s">
        <v>32</v>
      </c>
      <c r="CL19" s="156" t="s">
        <v>32</v>
      </c>
      <c r="CN19" s="156">
        <v>0.03</v>
      </c>
      <c r="CO19" s="156" t="s">
        <v>26</v>
      </c>
      <c r="CP19" s="156" t="s">
        <v>26</v>
      </c>
      <c r="CQ19" s="156" t="s">
        <v>26</v>
      </c>
      <c r="CR19" s="156" t="s">
        <v>26</v>
      </c>
      <c r="CS19" s="156" t="s">
        <v>26</v>
      </c>
      <c r="CT19" s="156" t="s">
        <v>26</v>
      </c>
      <c r="CU19" s="156" t="s">
        <v>26</v>
      </c>
      <c r="CV19" s="156" t="s">
        <v>26</v>
      </c>
      <c r="CW19" s="156" t="s">
        <v>26</v>
      </c>
      <c r="CX19" s="156" t="s">
        <v>26</v>
      </c>
      <c r="CY19" s="156" t="s">
        <v>26</v>
      </c>
      <c r="CZ19" s="156" t="s">
        <v>26</v>
      </c>
      <c r="DA19" s="156" t="s">
        <v>26</v>
      </c>
      <c r="DB19" s="156" t="s">
        <v>26</v>
      </c>
      <c r="DC19" s="156" t="s">
        <v>26</v>
      </c>
      <c r="DD19" s="156" t="s">
        <v>26</v>
      </c>
      <c r="DE19" s="156" t="s">
        <v>26</v>
      </c>
      <c r="DF19" s="156" t="s">
        <v>26</v>
      </c>
      <c r="DG19" s="156" t="s">
        <v>26</v>
      </c>
      <c r="DH19" s="156" t="s">
        <v>26</v>
      </c>
      <c r="DI19" s="156" t="s">
        <v>26</v>
      </c>
    </row>
    <row r="20" spans="2:113" x14ac:dyDescent="0.2">
      <c r="B20" s="162">
        <v>0.14000000000000001</v>
      </c>
      <c r="C20" s="156">
        <v>-291.3239770502405</v>
      </c>
      <c r="D20" s="163">
        <v>-35.742932915047277</v>
      </c>
      <c r="E20" s="156">
        <v>475.41915535532462</v>
      </c>
      <c r="F20" s="161">
        <v>986.58124362568196</v>
      </c>
      <c r="I20" s="162">
        <v>0.14000000000000001</v>
      </c>
      <c r="J20" s="156">
        <v>-107.14132054108995</v>
      </c>
      <c r="K20" s="156">
        <v>331.02848930205073</v>
      </c>
      <c r="L20" s="156">
        <v>1207.3681089883466</v>
      </c>
      <c r="M20" s="156">
        <v>2083.7077286746644</v>
      </c>
      <c r="O20" s="161"/>
      <c r="Q20" s="164">
        <v>0.7</v>
      </c>
      <c r="R20" s="156" t="s">
        <v>32</v>
      </c>
      <c r="S20" s="156" t="s">
        <v>32</v>
      </c>
      <c r="T20" s="156" t="s">
        <v>26</v>
      </c>
      <c r="U20" s="156" t="s">
        <v>26</v>
      </c>
      <c r="V20" s="161" t="s">
        <v>26</v>
      </c>
      <c r="X20" s="163">
        <v>0.75</v>
      </c>
      <c r="Y20" s="156" t="s">
        <v>26</v>
      </c>
      <c r="Z20" s="156" t="s">
        <v>26</v>
      </c>
      <c r="AA20" s="156" t="s">
        <v>26</v>
      </c>
      <c r="AB20" s="156" t="s">
        <v>26</v>
      </c>
      <c r="AC20" s="156" t="s">
        <v>26</v>
      </c>
      <c r="AD20" s="156" t="s">
        <v>26</v>
      </c>
      <c r="AE20" s="156" t="s">
        <v>26</v>
      </c>
      <c r="AF20" s="156" t="s">
        <v>26</v>
      </c>
      <c r="AG20" s="156" t="s">
        <v>26</v>
      </c>
      <c r="AH20" s="156" t="s">
        <v>26</v>
      </c>
      <c r="AI20" s="156" t="s">
        <v>26</v>
      </c>
      <c r="AJ20" s="156" t="s">
        <v>26</v>
      </c>
      <c r="AK20" s="156" t="s">
        <v>26</v>
      </c>
      <c r="AL20" s="156" t="s">
        <v>26</v>
      </c>
      <c r="AM20" s="156" t="s">
        <v>26</v>
      </c>
      <c r="AN20" s="156" t="s">
        <v>26</v>
      </c>
      <c r="AO20" s="156" t="s">
        <v>26</v>
      </c>
      <c r="AP20" s="156" t="s">
        <v>26</v>
      </c>
      <c r="AQ20" s="156" t="s">
        <v>26</v>
      </c>
      <c r="AR20" s="156" t="s">
        <v>26</v>
      </c>
      <c r="AS20" s="156" t="s">
        <v>26</v>
      </c>
      <c r="AU20" s="163">
        <v>0.75</v>
      </c>
      <c r="AV20" s="156" t="s">
        <v>32</v>
      </c>
      <c r="AW20" s="156" t="s">
        <v>32</v>
      </c>
      <c r="AX20" s="156" t="s">
        <v>32</v>
      </c>
      <c r="AY20" s="156" t="s">
        <v>32</v>
      </c>
      <c r="AZ20" s="156" t="s">
        <v>32</v>
      </c>
      <c r="BA20" s="156" t="s">
        <v>32</v>
      </c>
      <c r="BC20" s="156">
        <v>0.75</v>
      </c>
      <c r="BD20" s="156" t="s">
        <v>32</v>
      </c>
      <c r="BE20" s="156" t="s">
        <v>32</v>
      </c>
      <c r="BF20" s="156" t="s">
        <v>32</v>
      </c>
      <c r="BG20" s="156" t="s">
        <v>26</v>
      </c>
      <c r="BH20" s="156" t="s">
        <v>26</v>
      </c>
      <c r="BI20" s="156" t="s">
        <v>26</v>
      </c>
      <c r="BJ20" s="156" t="s">
        <v>26</v>
      </c>
      <c r="BK20" s="156" t="s">
        <v>26</v>
      </c>
      <c r="BL20" s="156" t="s">
        <v>26</v>
      </c>
      <c r="BM20" s="156" t="s">
        <v>26</v>
      </c>
      <c r="BN20" s="156" t="s">
        <v>26</v>
      </c>
      <c r="BO20" s="156" t="s">
        <v>26</v>
      </c>
      <c r="BQ20" s="156">
        <v>3.5000000000000003E-2</v>
      </c>
      <c r="BR20" s="156" t="s">
        <v>32</v>
      </c>
      <c r="BS20" s="156" t="s">
        <v>32</v>
      </c>
      <c r="BT20" s="156" t="s">
        <v>32</v>
      </c>
      <c r="BU20" s="156" t="s">
        <v>32</v>
      </c>
      <c r="BV20" s="156" t="s">
        <v>32</v>
      </c>
      <c r="BW20" s="156" t="s">
        <v>32</v>
      </c>
      <c r="BX20" s="156" t="s">
        <v>32</v>
      </c>
      <c r="BY20" s="156" t="s">
        <v>32</v>
      </c>
      <c r="BZ20" s="156" t="s">
        <v>32</v>
      </c>
      <c r="CA20" s="156" t="s">
        <v>32</v>
      </c>
      <c r="CB20" s="156" t="s">
        <v>32</v>
      </c>
      <c r="CC20" s="156" t="s">
        <v>32</v>
      </c>
      <c r="CD20" s="156" t="s">
        <v>32</v>
      </c>
      <c r="CE20" s="156" t="s">
        <v>32</v>
      </c>
      <c r="CF20" s="156" t="s">
        <v>32</v>
      </c>
      <c r="CG20" s="156" t="s">
        <v>32</v>
      </c>
      <c r="CH20" s="156" t="s">
        <v>32</v>
      </c>
      <c r="CI20" s="156" t="s">
        <v>32</v>
      </c>
      <c r="CJ20" s="156" t="s">
        <v>32</v>
      </c>
      <c r="CK20" s="156" t="s">
        <v>32</v>
      </c>
      <c r="CL20" s="156" t="s">
        <v>32</v>
      </c>
      <c r="CN20" s="156">
        <v>3.2500000000000001E-2</v>
      </c>
      <c r="CO20" s="156" t="s">
        <v>26</v>
      </c>
      <c r="CP20" s="156" t="s">
        <v>26</v>
      </c>
      <c r="CQ20" s="156" t="s">
        <v>26</v>
      </c>
      <c r="CR20" s="156" t="s">
        <v>26</v>
      </c>
      <c r="CS20" s="156" t="s">
        <v>26</v>
      </c>
      <c r="CT20" s="156" t="s">
        <v>26</v>
      </c>
      <c r="CU20" s="156" t="s">
        <v>26</v>
      </c>
      <c r="CV20" s="156" t="s">
        <v>26</v>
      </c>
      <c r="CW20" s="156" t="s">
        <v>26</v>
      </c>
      <c r="CX20" s="156" t="s">
        <v>26</v>
      </c>
      <c r="CY20" s="156" t="s">
        <v>26</v>
      </c>
      <c r="CZ20" s="156" t="s">
        <v>26</v>
      </c>
      <c r="DA20" s="156" t="s">
        <v>26</v>
      </c>
      <c r="DB20" s="156" t="s">
        <v>26</v>
      </c>
      <c r="DC20" s="156" t="s">
        <v>26</v>
      </c>
      <c r="DD20" s="156" t="s">
        <v>26</v>
      </c>
      <c r="DE20" s="156" t="s">
        <v>26</v>
      </c>
      <c r="DF20" s="156" t="s">
        <v>26</v>
      </c>
      <c r="DG20" s="156" t="s">
        <v>26</v>
      </c>
      <c r="DH20" s="156" t="s">
        <v>26</v>
      </c>
      <c r="DI20" s="156" t="s">
        <v>26</v>
      </c>
    </row>
    <row r="21" spans="2:113" x14ac:dyDescent="0.2">
      <c r="B21" s="162">
        <v>0.15</v>
      </c>
      <c r="C21" s="156">
        <v>-304.8715746314374</v>
      </c>
      <c r="D21" s="156">
        <v>-62.83812807744107</v>
      </c>
      <c r="E21" s="156">
        <v>421.22876503053703</v>
      </c>
      <c r="F21" s="161">
        <v>905.29565813852241</v>
      </c>
      <c r="I21" s="162">
        <v>0.15</v>
      </c>
      <c r="J21" s="156">
        <v>-107.26694576397131</v>
      </c>
      <c r="K21" s="156">
        <v>330.90286407917301</v>
      </c>
      <c r="L21" s="156">
        <v>1207.2424837654544</v>
      </c>
      <c r="M21" s="156">
        <v>2083.5821034517721</v>
      </c>
      <c r="O21" s="161"/>
      <c r="Q21" s="164">
        <v>0.75</v>
      </c>
      <c r="R21" s="156" t="s">
        <v>32</v>
      </c>
      <c r="S21" s="156" t="s">
        <v>32</v>
      </c>
      <c r="T21" s="156" t="s">
        <v>26</v>
      </c>
      <c r="U21" s="156" t="s">
        <v>26</v>
      </c>
      <c r="V21" s="161" t="s">
        <v>26</v>
      </c>
      <c r="X21" s="163">
        <v>0.8</v>
      </c>
      <c r="Y21" s="156" t="s">
        <v>26</v>
      </c>
      <c r="Z21" s="156" t="s">
        <v>26</v>
      </c>
      <c r="AA21" s="156" t="s">
        <v>26</v>
      </c>
      <c r="AB21" s="156" t="s">
        <v>26</v>
      </c>
      <c r="AC21" s="156" t="s">
        <v>26</v>
      </c>
      <c r="AD21" s="156" t="s">
        <v>26</v>
      </c>
      <c r="AE21" s="156" t="s">
        <v>26</v>
      </c>
      <c r="AF21" s="156" t="s">
        <v>26</v>
      </c>
      <c r="AG21" s="156" t="s">
        <v>26</v>
      </c>
      <c r="AH21" s="156" t="s">
        <v>26</v>
      </c>
      <c r="AI21" s="156" t="s">
        <v>26</v>
      </c>
      <c r="AJ21" s="156" t="s">
        <v>26</v>
      </c>
      <c r="AK21" s="156" t="s">
        <v>26</v>
      </c>
      <c r="AL21" s="156" t="s">
        <v>26</v>
      </c>
      <c r="AM21" s="156" t="s">
        <v>26</v>
      </c>
      <c r="AN21" s="156" t="s">
        <v>26</v>
      </c>
      <c r="AO21" s="156" t="s">
        <v>26</v>
      </c>
      <c r="AP21" s="156" t="s">
        <v>26</v>
      </c>
      <c r="AQ21" s="156" t="s">
        <v>26</v>
      </c>
      <c r="AR21" s="156" t="s">
        <v>26</v>
      </c>
      <c r="AS21" s="156" t="s">
        <v>26</v>
      </c>
      <c r="AU21" s="163">
        <v>0.8</v>
      </c>
      <c r="AV21" s="156" t="s">
        <v>32</v>
      </c>
      <c r="AW21" s="156" t="s">
        <v>32</v>
      </c>
      <c r="AX21" s="156" t="s">
        <v>32</v>
      </c>
      <c r="AY21" s="156" t="s">
        <v>32</v>
      </c>
      <c r="AZ21" s="156" t="s">
        <v>32</v>
      </c>
      <c r="BA21" s="156" t="s">
        <v>32</v>
      </c>
      <c r="BC21" s="156">
        <v>0.8</v>
      </c>
      <c r="BD21" s="156" t="s">
        <v>32</v>
      </c>
      <c r="BE21" s="156" t="s">
        <v>32</v>
      </c>
      <c r="BF21" s="156" t="s">
        <v>32</v>
      </c>
      <c r="BG21" s="156" t="s">
        <v>26</v>
      </c>
      <c r="BH21" s="156" t="s">
        <v>26</v>
      </c>
      <c r="BI21" s="156" t="s">
        <v>26</v>
      </c>
      <c r="BJ21" s="156" t="s">
        <v>26</v>
      </c>
      <c r="BK21" s="156" t="s">
        <v>26</v>
      </c>
      <c r="BL21" s="156" t="s">
        <v>26</v>
      </c>
      <c r="BM21" s="156" t="s">
        <v>26</v>
      </c>
      <c r="BN21" s="156" t="s">
        <v>26</v>
      </c>
      <c r="BO21" s="156" t="s">
        <v>26</v>
      </c>
      <c r="BQ21" s="156">
        <v>3.7499999999999999E-2</v>
      </c>
      <c r="BR21" s="156" t="s">
        <v>32</v>
      </c>
      <c r="BS21" s="156" t="s">
        <v>32</v>
      </c>
      <c r="BT21" s="156" t="s">
        <v>32</v>
      </c>
      <c r="BU21" s="156" t="s">
        <v>32</v>
      </c>
      <c r="BV21" s="156" t="s">
        <v>32</v>
      </c>
      <c r="BW21" s="156" t="s">
        <v>32</v>
      </c>
      <c r="BX21" s="156" t="s">
        <v>32</v>
      </c>
      <c r="BY21" s="156" t="s">
        <v>32</v>
      </c>
      <c r="BZ21" s="156" t="s">
        <v>32</v>
      </c>
      <c r="CA21" s="156" t="s">
        <v>32</v>
      </c>
      <c r="CB21" s="156" t="s">
        <v>32</v>
      </c>
      <c r="CC21" s="156" t="s">
        <v>32</v>
      </c>
      <c r="CD21" s="156" t="s">
        <v>32</v>
      </c>
      <c r="CE21" s="156" t="s">
        <v>32</v>
      </c>
      <c r="CF21" s="156" t="s">
        <v>32</v>
      </c>
      <c r="CG21" s="156" t="s">
        <v>32</v>
      </c>
      <c r="CH21" s="156" t="s">
        <v>32</v>
      </c>
      <c r="CI21" s="156" t="s">
        <v>32</v>
      </c>
      <c r="CJ21" s="156" t="s">
        <v>32</v>
      </c>
      <c r="CK21" s="156" t="s">
        <v>32</v>
      </c>
      <c r="CL21" s="156" t="s">
        <v>32</v>
      </c>
      <c r="CN21" s="156">
        <v>3.5000000000000003E-2</v>
      </c>
      <c r="CO21" s="156" t="s">
        <v>26</v>
      </c>
      <c r="CP21" s="156" t="s">
        <v>26</v>
      </c>
      <c r="CQ21" s="156" t="s">
        <v>26</v>
      </c>
      <c r="CR21" s="156" t="s">
        <v>26</v>
      </c>
      <c r="CS21" s="156" t="s">
        <v>26</v>
      </c>
      <c r="CT21" s="156" t="s">
        <v>26</v>
      </c>
      <c r="CU21" s="156" t="s">
        <v>26</v>
      </c>
      <c r="CV21" s="156" t="s">
        <v>26</v>
      </c>
      <c r="CW21" s="156" t="s">
        <v>26</v>
      </c>
      <c r="CX21" s="156" t="s">
        <v>26</v>
      </c>
      <c r="CY21" s="156" t="s">
        <v>26</v>
      </c>
      <c r="CZ21" s="156" t="s">
        <v>26</v>
      </c>
      <c r="DA21" s="156" t="s">
        <v>26</v>
      </c>
      <c r="DB21" s="156" t="s">
        <v>26</v>
      </c>
      <c r="DC21" s="156" t="s">
        <v>26</v>
      </c>
      <c r="DD21" s="156" t="s">
        <v>26</v>
      </c>
      <c r="DE21" s="156" t="s">
        <v>26</v>
      </c>
      <c r="DF21" s="156" t="s">
        <v>26</v>
      </c>
      <c r="DG21" s="156" t="s">
        <v>26</v>
      </c>
      <c r="DH21" s="156" t="s">
        <v>26</v>
      </c>
      <c r="DI21" s="156" t="s">
        <v>26</v>
      </c>
    </row>
    <row r="22" spans="2:113" x14ac:dyDescent="0.2">
      <c r="B22" s="162">
        <v>0.16</v>
      </c>
      <c r="C22" s="156">
        <v>-317.7967020043252</v>
      </c>
      <c r="D22" s="156">
        <v>-88.688382823220309</v>
      </c>
      <c r="E22" s="156">
        <v>369.52825553898583</v>
      </c>
      <c r="F22" s="161">
        <v>827.74489390119561</v>
      </c>
      <c r="I22" s="162">
        <v>0.16</v>
      </c>
      <c r="J22" s="156">
        <v>-107.41851613901235</v>
      </c>
      <c r="K22" s="156">
        <v>330.75129370413197</v>
      </c>
      <c r="L22" s="156">
        <v>1207.0909133904206</v>
      </c>
      <c r="M22" s="156">
        <v>2083.4305330767529</v>
      </c>
      <c r="O22" s="161"/>
      <c r="Q22" s="164">
        <v>0.8</v>
      </c>
      <c r="R22" s="156" t="s">
        <v>32</v>
      </c>
      <c r="S22" s="156" t="s">
        <v>32</v>
      </c>
      <c r="T22" s="156" t="s">
        <v>26</v>
      </c>
      <c r="U22" s="156" t="s">
        <v>26</v>
      </c>
      <c r="V22" s="161" t="s">
        <v>26</v>
      </c>
      <c r="X22" s="163">
        <v>0.85</v>
      </c>
      <c r="Y22" s="156" t="s">
        <v>26</v>
      </c>
      <c r="Z22" s="156" t="s">
        <v>26</v>
      </c>
      <c r="AA22" s="156" t="s">
        <v>26</v>
      </c>
      <c r="AB22" s="156" t="s">
        <v>26</v>
      </c>
      <c r="AC22" s="156" t="s">
        <v>26</v>
      </c>
      <c r="AD22" s="156" t="s">
        <v>26</v>
      </c>
      <c r="AE22" s="156" t="s">
        <v>26</v>
      </c>
      <c r="AF22" s="156" t="s">
        <v>26</v>
      </c>
      <c r="AG22" s="156" t="s">
        <v>26</v>
      </c>
      <c r="AH22" s="156" t="s">
        <v>26</v>
      </c>
      <c r="AI22" s="156" t="s">
        <v>26</v>
      </c>
      <c r="AJ22" s="156" t="s">
        <v>26</v>
      </c>
      <c r="AK22" s="156" t="s">
        <v>26</v>
      </c>
      <c r="AL22" s="156" t="s">
        <v>26</v>
      </c>
      <c r="AM22" s="156" t="s">
        <v>26</v>
      </c>
      <c r="AN22" s="156" t="s">
        <v>26</v>
      </c>
      <c r="AO22" s="156" t="s">
        <v>26</v>
      </c>
      <c r="AP22" s="156" t="s">
        <v>26</v>
      </c>
      <c r="AQ22" s="156" t="s">
        <v>26</v>
      </c>
      <c r="AR22" s="156" t="s">
        <v>26</v>
      </c>
      <c r="AS22" s="156" t="s">
        <v>26</v>
      </c>
      <c r="AU22" s="163">
        <v>0.85</v>
      </c>
      <c r="AV22" s="156" t="s">
        <v>26</v>
      </c>
      <c r="AW22" s="156" t="s">
        <v>26</v>
      </c>
      <c r="AX22" s="156" t="s">
        <v>32</v>
      </c>
      <c r="AY22" s="156" t="s">
        <v>32</v>
      </c>
      <c r="AZ22" s="156" t="s">
        <v>32</v>
      </c>
      <c r="BA22" s="156" t="s">
        <v>32</v>
      </c>
      <c r="BC22" s="156">
        <v>0.85</v>
      </c>
      <c r="BD22" s="156" t="s">
        <v>32</v>
      </c>
      <c r="BE22" s="156" t="s">
        <v>32</v>
      </c>
      <c r="BF22" s="156" t="s">
        <v>32</v>
      </c>
      <c r="BG22" s="156" t="s">
        <v>26</v>
      </c>
      <c r="BH22" s="156" t="s">
        <v>26</v>
      </c>
      <c r="BI22" s="156" t="s">
        <v>26</v>
      </c>
      <c r="BJ22" s="156" t="s">
        <v>26</v>
      </c>
      <c r="BK22" s="156" t="s">
        <v>26</v>
      </c>
      <c r="BL22" s="156" t="s">
        <v>26</v>
      </c>
      <c r="BM22" s="156" t="s">
        <v>26</v>
      </c>
      <c r="BN22" s="156" t="s">
        <v>26</v>
      </c>
      <c r="BO22" s="156" t="s">
        <v>26</v>
      </c>
      <c r="BQ22" s="156">
        <v>0.04</v>
      </c>
      <c r="BR22" s="156" t="s">
        <v>32</v>
      </c>
      <c r="BS22" s="156" t="s">
        <v>32</v>
      </c>
      <c r="BT22" s="156" t="s">
        <v>32</v>
      </c>
      <c r="BU22" s="156" t="s">
        <v>32</v>
      </c>
      <c r="BV22" s="156" t="s">
        <v>32</v>
      </c>
      <c r="BW22" s="156" t="s">
        <v>32</v>
      </c>
      <c r="BX22" s="156" t="s">
        <v>32</v>
      </c>
      <c r="BY22" s="156" t="s">
        <v>32</v>
      </c>
      <c r="BZ22" s="156" t="s">
        <v>32</v>
      </c>
      <c r="CA22" s="156" t="s">
        <v>32</v>
      </c>
      <c r="CB22" s="156" t="s">
        <v>32</v>
      </c>
      <c r="CC22" s="156" t="s">
        <v>32</v>
      </c>
      <c r="CD22" s="156" t="s">
        <v>32</v>
      </c>
      <c r="CE22" s="156" t="s">
        <v>32</v>
      </c>
      <c r="CF22" s="156" t="s">
        <v>32</v>
      </c>
      <c r="CG22" s="156" t="s">
        <v>32</v>
      </c>
      <c r="CH22" s="156" t="s">
        <v>32</v>
      </c>
      <c r="CI22" s="156" t="s">
        <v>32</v>
      </c>
      <c r="CJ22" s="156" t="s">
        <v>32</v>
      </c>
      <c r="CK22" s="156" t="s">
        <v>32</v>
      </c>
      <c r="CL22" s="156" t="s">
        <v>32</v>
      </c>
      <c r="CN22" s="156">
        <v>3.7499999999999999E-2</v>
      </c>
      <c r="CO22" s="156" t="s">
        <v>26</v>
      </c>
      <c r="CP22" s="156" t="s">
        <v>26</v>
      </c>
      <c r="CQ22" s="156" t="s">
        <v>26</v>
      </c>
      <c r="CR22" s="156" t="s">
        <v>26</v>
      </c>
      <c r="CS22" s="156" t="s">
        <v>26</v>
      </c>
      <c r="CT22" s="156" t="s">
        <v>26</v>
      </c>
      <c r="CU22" s="156" t="s">
        <v>26</v>
      </c>
      <c r="CV22" s="156" t="s">
        <v>26</v>
      </c>
      <c r="CW22" s="156" t="s">
        <v>26</v>
      </c>
      <c r="CX22" s="156" t="s">
        <v>26</v>
      </c>
      <c r="CY22" s="156" t="s">
        <v>26</v>
      </c>
      <c r="CZ22" s="156" t="s">
        <v>26</v>
      </c>
      <c r="DA22" s="156" t="s">
        <v>26</v>
      </c>
      <c r="DB22" s="156" t="s">
        <v>26</v>
      </c>
      <c r="DC22" s="156" t="s">
        <v>26</v>
      </c>
      <c r="DD22" s="156" t="s">
        <v>26</v>
      </c>
      <c r="DE22" s="156" t="s">
        <v>26</v>
      </c>
      <c r="DF22" s="156" t="s">
        <v>26</v>
      </c>
      <c r="DG22" s="156" t="s">
        <v>26</v>
      </c>
      <c r="DH22" s="156" t="s">
        <v>26</v>
      </c>
      <c r="DI22" s="156" t="s">
        <v>26</v>
      </c>
    </row>
    <row r="23" spans="2:113" x14ac:dyDescent="0.2">
      <c r="B23" s="162">
        <v>0.17</v>
      </c>
      <c r="C23" s="156">
        <v>-330.1193733897162</v>
      </c>
      <c r="D23" s="156">
        <v>-113.33372559400232</v>
      </c>
      <c r="E23" s="156">
        <v>320.23756999742182</v>
      </c>
      <c r="F23" s="161">
        <v>753.80886558884231</v>
      </c>
      <c r="I23" s="162">
        <v>0.17</v>
      </c>
      <c r="J23" s="156">
        <v>-107.59256908042516</v>
      </c>
      <c r="K23" s="156">
        <v>330.57724076272279</v>
      </c>
      <c r="L23" s="156">
        <v>1206.9168604489969</v>
      </c>
      <c r="M23" s="156">
        <v>2083.2564801353437</v>
      </c>
      <c r="O23" s="161"/>
      <c r="Q23" s="164">
        <v>0.85</v>
      </c>
      <c r="R23" s="156" t="s">
        <v>32</v>
      </c>
      <c r="S23" s="156" t="s">
        <v>32</v>
      </c>
      <c r="T23" s="156" t="s">
        <v>26</v>
      </c>
      <c r="U23" s="156" t="s">
        <v>26</v>
      </c>
      <c r="V23" s="161" t="s">
        <v>26</v>
      </c>
      <c r="X23" s="163">
        <v>0.9</v>
      </c>
      <c r="Y23" s="156" t="s">
        <v>26</v>
      </c>
      <c r="Z23" s="156" t="s">
        <v>26</v>
      </c>
      <c r="AA23" s="156" t="s">
        <v>26</v>
      </c>
      <c r="AB23" s="156" t="s">
        <v>26</v>
      </c>
      <c r="AC23" s="156" t="s">
        <v>26</v>
      </c>
      <c r="AD23" s="156" t="s">
        <v>26</v>
      </c>
      <c r="AE23" s="156" t="s">
        <v>26</v>
      </c>
      <c r="AF23" s="156" t="s">
        <v>26</v>
      </c>
      <c r="AG23" s="156" t="s">
        <v>26</v>
      </c>
      <c r="AH23" s="156" t="s">
        <v>26</v>
      </c>
      <c r="AI23" s="156" t="s">
        <v>26</v>
      </c>
      <c r="AJ23" s="156" t="s">
        <v>26</v>
      </c>
      <c r="AK23" s="156" t="s">
        <v>26</v>
      </c>
      <c r="AL23" s="156" t="s">
        <v>26</v>
      </c>
      <c r="AM23" s="156" t="s">
        <v>26</v>
      </c>
      <c r="AN23" s="156" t="s">
        <v>26</v>
      </c>
      <c r="AO23" s="156" t="s">
        <v>26</v>
      </c>
      <c r="AP23" s="156" t="s">
        <v>26</v>
      </c>
      <c r="AQ23" s="156" t="s">
        <v>26</v>
      </c>
      <c r="AR23" s="156" t="s">
        <v>26</v>
      </c>
      <c r="AS23" s="156" t="s">
        <v>26</v>
      </c>
      <c r="AU23" s="163">
        <v>0.9</v>
      </c>
      <c r="AV23" s="156" t="s">
        <v>26</v>
      </c>
      <c r="AW23" s="156" t="s">
        <v>26</v>
      </c>
      <c r="AX23" s="156" t="s">
        <v>26</v>
      </c>
      <c r="AY23" s="156" t="s">
        <v>26</v>
      </c>
      <c r="AZ23" s="156" t="s">
        <v>26</v>
      </c>
      <c r="BA23" s="156" t="s">
        <v>32</v>
      </c>
      <c r="BC23" s="156">
        <v>0.9</v>
      </c>
      <c r="BD23" s="156" t="s">
        <v>32</v>
      </c>
      <c r="BE23" s="156" t="s">
        <v>32</v>
      </c>
      <c r="BF23" s="156" t="s">
        <v>32</v>
      </c>
      <c r="BG23" s="156" t="s">
        <v>26</v>
      </c>
      <c r="BH23" s="156" t="s">
        <v>26</v>
      </c>
      <c r="BI23" s="156" t="s">
        <v>26</v>
      </c>
      <c r="BJ23" s="156" t="s">
        <v>26</v>
      </c>
      <c r="BK23" s="156" t="s">
        <v>26</v>
      </c>
      <c r="BL23" s="156" t="s">
        <v>26</v>
      </c>
      <c r="BM23" s="156" t="s">
        <v>26</v>
      </c>
      <c r="BN23" s="156" t="s">
        <v>26</v>
      </c>
      <c r="BO23" s="156" t="s">
        <v>26</v>
      </c>
      <c r="BQ23" s="156">
        <v>4.2500000000000003E-2</v>
      </c>
      <c r="BR23" s="156" t="s">
        <v>32</v>
      </c>
      <c r="BS23" s="156" t="s">
        <v>32</v>
      </c>
      <c r="BT23" s="156" t="s">
        <v>32</v>
      </c>
      <c r="BU23" s="156" t="s">
        <v>32</v>
      </c>
      <c r="BV23" s="156" t="s">
        <v>32</v>
      </c>
      <c r="BW23" s="156" t="s">
        <v>32</v>
      </c>
      <c r="BX23" s="156" t="s">
        <v>32</v>
      </c>
      <c r="BY23" s="156" t="s">
        <v>32</v>
      </c>
      <c r="BZ23" s="156" t="s">
        <v>32</v>
      </c>
      <c r="CA23" s="156" t="s">
        <v>32</v>
      </c>
      <c r="CB23" s="156" t="s">
        <v>32</v>
      </c>
      <c r="CC23" s="156" t="s">
        <v>32</v>
      </c>
      <c r="CD23" s="156" t="s">
        <v>32</v>
      </c>
      <c r="CE23" s="156" t="s">
        <v>32</v>
      </c>
      <c r="CF23" s="156" t="s">
        <v>32</v>
      </c>
      <c r="CG23" s="156" t="s">
        <v>32</v>
      </c>
      <c r="CH23" s="156" t="s">
        <v>32</v>
      </c>
      <c r="CI23" s="156" t="s">
        <v>32</v>
      </c>
      <c r="CJ23" s="156" t="s">
        <v>32</v>
      </c>
      <c r="CK23" s="156" t="s">
        <v>32</v>
      </c>
      <c r="CL23" s="156" t="s">
        <v>32</v>
      </c>
      <c r="CN23" s="156">
        <v>0.04</v>
      </c>
      <c r="CO23" s="156" t="s">
        <v>26</v>
      </c>
      <c r="CP23" s="156" t="s">
        <v>26</v>
      </c>
      <c r="CQ23" s="156" t="s">
        <v>26</v>
      </c>
      <c r="CR23" s="156" t="s">
        <v>26</v>
      </c>
      <c r="CS23" s="156" t="s">
        <v>26</v>
      </c>
      <c r="CT23" s="156" t="s">
        <v>26</v>
      </c>
      <c r="CU23" s="156" t="s">
        <v>26</v>
      </c>
      <c r="CV23" s="156" t="s">
        <v>26</v>
      </c>
      <c r="CW23" s="156" t="s">
        <v>26</v>
      </c>
      <c r="CX23" s="156" t="s">
        <v>26</v>
      </c>
      <c r="CY23" s="156" t="s">
        <v>26</v>
      </c>
      <c r="CZ23" s="156" t="s">
        <v>26</v>
      </c>
      <c r="DA23" s="156" t="s">
        <v>26</v>
      </c>
      <c r="DB23" s="156" t="s">
        <v>26</v>
      </c>
      <c r="DC23" s="156" t="s">
        <v>26</v>
      </c>
      <c r="DD23" s="156" t="s">
        <v>26</v>
      </c>
      <c r="DE23" s="156" t="s">
        <v>26</v>
      </c>
      <c r="DF23" s="156" t="s">
        <v>26</v>
      </c>
      <c r="DG23" s="156" t="s">
        <v>26</v>
      </c>
      <c r="DH23" s="156" t="s">
        <v>26</v>
      </c>
      <c r="DI23" s="156" t="s">
        <v>26</v>
      </c>
    </row>
    <row r="24" spans="2:113" x14ac:dyDescent="0.2">
      <c r="B24" s="162">
        <v>0.18</v>
      </c>
      <c r="C24" s="156">
        <v>-341.86052090787052</v>
      </c>
      <c r="D24" s="156">
        <v>-136.81602063031096</v>
      </c>
      <c r="E24" s="156">
        <v>273.27297992481181</v>
      </c>
      <c r="F24" s="161">
        <v>683.36198047993821</v>
      </c>
      <c r="I24" s="162">
        <v>0.18</v>
      </c>
      <c r="J24" s="156">
        <v>-107.78602624475752</v>
      </c>
      <c r="K24" s="156">
        <v>330.3837835983868</v>
      </c>
      <c r="L24" s="156">
        <v>1206.7234032846754</v>
      </c>
      <c r="M24" s="156">
        <v>2083.0630229710077</v>
      </c>
      <c r="O24" s="161"/>
      <c r="Q24" s="164">
        <v>0.9</v>
      </c>
      <c r="R24" s="156" t="s">
        <v>32</v>
      </c>
      <c r="S24" s="156" t="s">
        <v>32</v>
      </c>
      <c r="T24" s="156" t="s">
        <v>26</v>
      </c>
      <c r="U24" s="156" t="s">
        <v>26</v>
      </c>
      <c r="V24" s="161" t="s">
        <v>26</v>
      </c>
      <c r="X24" s="163">
        <v>0.95</v>
      </c>
      <c r="Y24" s="156" t="s">
        <v>26</v>
      </c>
      <c r="Z24" s="156" t="s">
        <v>26</v>
      </c>
      <c r="AA24" s="156" t="s">
        <v>26</v>
      </c>
      <c r="AB24" s="156" t="s">
        <v>26</v>
      </c>
      <c r="AC24" s="156" t="s">
        <v>26</v>
      </c>
      <c r="AD24" s="156" t="s">
        <v>26</v>
      </c>
      <c r="AE24" s="156" t="s">
        <v>26</v>
      </c>
      <c r="AF24" s="156" t="s">
        <v>26</v>
      </c>
      <c r="AG24" s="156" t="s">
        <v>26</v>
      </c>
      <c r="AH24" s="156" t="s">
        <v>26</v>
      </c>
      <c r="AI24" s="156" t="s">
        <v>26</v>
      </c>
      <c r="AJ24" s="156" t="s">
        <v>26</v>
      </c>
      <c r="AK24" s="156" t="s">
        <v>26</v>
      </c>
      <c r="AL24" s="156" t="s">
        <v>26</v>
      </c>
      <c r="AM24" s="156" t="s">
        <v>26</v>
      </c>
      <c r="AN24" s="156" t="s">
        <v>26</v>
      </c>
      <c r="AO24" s="156" t="s">
        <v>26</v>
      </c>
      <c r="AP24" s="156" t="s">
        <v>26</v>
      </c>
      <c r="AQ24" s="156" t="s">
        <v>26</v>
      </c>
      <c r="AR24" s="156" t="s">
        <v>26</v>
      </c>
      <c r="AS24" s="156" t="s">
        <v>26</v>
      </c>
      <c r="AU24" s="163">
        <v>0.95</v>
      </c>
      <c r="AV24" s="156" t="s">
        <v>26</v>
      </c>
      <c r="AW24" s="156" t="s">
        <v>26</v>
      </c>
      <c r="AX24" s="156" t="s">
        <v>26</v>
      </c>
      <c r="AY24" s="156" t="s">
        <v>26</v>
      </c>
      <c r="AZ24" s="156" t="s">
        <v>26</v>
      </c>
      <c r="BA24" s="156" t="s">
        <v>26</v>
      </c>
      <c r="BC24" s="156">
        <v>0.95</v>
      </c>
      <c r="BD24" s="156" t="s">
        <v>32</v>
      </c>
      <c r="BE24" s="156" t="s">
        <v>32</v>
      </c>
      <c r="BF24" s="156" t="s">
        <v>32</v>
      </c>
      <c r="BG24" s="156" t="s">
        <v>26</v>
      </c>
      <c r="BH24" s="156" t="s">
        <v>26</v>
      </c>
      <c r="BI24" s="156" t="s">
        <v>26</v>
      </c>
      <c r="BJ24" s="156" t="s">
        <v>26</v>
      </c>
      <c r="BK24" s="156" t="s">
        <v>26</v>
      </c>
      <c r="BL24" s="156" t="s">
        <v>26</v>
      </c>
      <c r="BM24" s="156" t="s">
        <v>26</v>
      </c>
      <c r="BN24" s="156" t="s">
        <v>26</v>
      </c>
      <c r="BO24" s="156" t="s">
        <v>26</v>
      </c>
      <c r="BQ24" s="156">
        <v>4.4999999999999998E-2</v>
      </c>
      <c r="BR24" s="156" t="s">
        <v>32</v>
      </c>
      <c r="BS24" s="156" t="s">
        <v>32</v>
      </c>
      <c r="BT24" s="156" t="s">
        <v>32</v>
      </c>
      <c r="BU24" s="156" t="s">
        <v>32</v>
      </c>
      <c r="BV24" s="156" t="s">
        <v>32</v>
      </c>
      <c r="BW24" s="156" t="s">
        <v>32</v>
      </c>
      <c r="BX24" s="156" t="s">
        <v>32</v>
      </c>
      <c r="BY24" s="156" t="s">
        <v>32</v>
      </c>
      <c r="BZ24" s="156" t="s">
        <v>32</v>
      </c>
      <c r="CA24" s="156" t="s">
        <v>32</v>
      </c>
      <c r="CB24" s="156" t="s">
        <v>32</v>
      </c>
      <c r="CC24" s="156" t="s">
        <v>32</v>
      </c>
      <c r="CD24" s="156" t="s">
        <v>32</v>
      </c>
      <c r="CE24" s="156" t="s">
        <v>32</v>
      </c>
      <c r="CF24" s="156" t="s">
        <v>32</v>
      </c>
      <c r="CG24" s="156" t="s">
        <v>32</v>
      </c>
      <c r="CH24" s="156" t="s">
        <v>32</v>
      </c>
      <c r="CI24" s="156" t="s">
        <v>32</v>
      </c>
      <c r="CJ24" s="156" t="s">
        <v>32</v>
      </c>
      <c r="CK24" s="156" t="s">
        <v>32</v>
      </c>
      <c r="CL24" s="156" t="s">
        <v>32</v>
      </c>
      <c r="CN24" s="156">
        <v>4.2500000000000003E-2</v>
      </c>
      <c r="CO24" s="156" t="s">
        <v>26</v>
      </c>
      <c r="CP24" s="156" t="s">
        <v>26</v>
      </c>
      <c r="CQ24" s="156" t="s">
        <v>26</v>
      </c>
      <c r="CR24" s="156" t="s">
        <v>26</v>
      </c>
      <c r="CS24" s="156" t="s">
        <v>26</v>
      </c>
      <c r="CT24" s="156" t="s">
        <v>26</v>
      </c>
      <c r="CU24" s="156" t="s">
        <v>26</v>
      </c>
      <c r="CV24" s="156" t="s">
        <v>26</v>
      </c>
      <c r="CW24" s="156" t="s">
        <v>26</v>
      </c>
      <c r="CX24" s="156" t="s">
        <v>26</v>
      </c>
      <c r="CY24" s="156" t="s">
        <v>26</v>
      </c>
      <c r="CZ24" s="156" t="s">
        <v>26</v>
      </c>
      <c r="DA24" s="156" t="s">
        <v>26</v>
      </c>
      <c r="DB24" s="156" t="s">
        <v>26</v>
      </c>
      <c r="DC24" s="156" t="s">
        <v>26</v>
      </c>
      <c r="DD24" s="156" t="s">
        <v>26</v>
      </c>
      <c r="DE24" s="156" t="s">
        <v>26</v>
      </c>
      <c r="DF24" s="156" t="s">
        <v>26</v>
      </c>
      <c r="DG24" s="156" t="s">
        <v>26</v>
      </c>
      <c r="DH24" s="156" t="s">
        <v>26</v>
      </c>
      <c r="DI24" s="156" t="s">
        <v>26</v>
      </c>
    </row>
    <row r="25" spans="2:113" x14ac:dyDescent="0.2">
      <c r="B25" s="162">
        <v>0.19</v>
      </c>
      <c r="C25" s="156">
        <v>-353.04164469833631</v>
      </c>
      <c r="D25" s="156">
        <v>-159.17826821124254</v>
      </c>
      <c r="E25" s="156">
        <v>228.54848476294865</v>
      </c>
      <c r="F25" s="161">
        <v>616.27523773713619</v>
      </c>
      <c r="I25" s="162">
        <v>0.19</v>
      </c>
      <c r="J25" s="156">
        <v>-107.9961508080778</v>
      </c>
      <c r="K25" s="156">
        <v>330.17365903506288</v>
      </c>
      <c r="L25" s="156">
        <v>1206.5132787213515</v>
      </c>
      <c r="M25" s="156">
        <v>2082.8528984076693</v>
      </c>
      <c r="O25" s="161"/>
      <c r="Q25" s="164">
        <v>0.95</v>
      </c>
      <c r="R25" s="156" t="s">
        <v>32</v>
      </c>
      <c r="S25" s="156" t="s">
        <v>32</v>
      </c>
      <c r="T25" s="156" t="s">
        <v>26</v>
      </c>
      <c r="U25" s="156" t="s">
        <v>26</v>
      </c>
      <c r="V25" s="161" t="s">
        <v>26</v>
      </c>
      <c r="X25" s="163">
        <v>1</v>
      </c>
      <c r="Y25" s="156" t="e">
        <v>#DIV/0!</v>
      </c>
      <c r="Z25" s="156" t="s">
        <v>26</v>
      </c>
      <c r="AA25" s="156" t="s">
        <v>26</v>
      </c>
      <c r="AB25" s="156" t="s">
        <v>26</v>
      </c>
      <c r="AC25" s="156" t="s">
        <v>26</v>
      </c>
      <c r="AD25" s="156" t="s">
        <v>26</v>
      </c>
      <c r="AE25" s="156" t="s">
        <v>26</v>
      </c>
      <c r="AF25" s="156" t="s">
        <v>26</v>
      </c>
      <c r="AG25" s="156" t="s">
        <v>26</v>
      </c>
      <c r="AH25" s="156" t="s">
        <v>26</v>
      </c>
      <c r="AI25" s="156" t="s">
        <v>26</v>
      </c>
      <c r="AJ25" s="156" t="s">
        <v>26</v>
      </c>
      <c r="AK25" s="156" t="s">
        <v>26</v>
      </c>
      <c r="AL25" s="156" t="s">
        <v>26</v>
      </c>
      <c r="AM25" s="156" t="s">
        <v>26</v>
      </c>
      <c r="AN25" s="156" t="s">
        <v>26</v>
      </c>
      <c r="AO25" s="156" t="s">
        <v>36</v>
      </c>
      <c r="AP25" s="156" t="s">
        <v>36</v>
      </c>
      <c r="AQ25" s="156" t="s">
        <v>36</v>
      </c>
      <c r="AR25" s="156" t="s">
        <v>36</v>
      </c>
      <c r="AS25" s="156" t="s">
        <v>36</v>
      </c>
      <c r="AU25" s="163">
        <v>1</v>
      </c>
      <c r="AV25" s="156" t="s">
        <v>26</v>
      </c>
      <c r="AW25" s="156" t="s">
        <v>26</v>
      </c>
      <c r="AX25" s="156" t="s">
        <v>26</v>
      </c>
      <c r="AY25" s="156" t="s">
        <v>26</v>
      </c>
      <c r="AZ25" s="156" t="s">
        <v>26</v>
      </c>
      <c r="BA25" s="156" t="s">
        <v>26</v>
      </c>
      <c r="BC25" s="156">
        <v>1</v>
      </c>
      <c r="BD25" s="156" t="s">
        <v>32</v>
      </c>
      <c r="BE25" s="156" t="s">
        <v>32</v>
      </c>
      <c r="BF25" s="156" t="s">
        <v>32</v>
      </c>
      <c r="BG25" s="156" t="s">
        <v>26</v>
      </c>
      <c r="BH25" s="156" t="s">
        <v>26</v>
      </c>
      <c r="BI25" s="156" t="s">
        <v>26</v>
      </c>
      <c r="BJ25" s="156" t="s">
        <v>26</v>
      </c>
      <c r="BK25" s="156" t="s">
        <v>26</v>
      </c>
      <c r="BL25" s="156" t="s">
        <v>26</v>
      </c>
      <c r="BM25" s="156" t="s">
        <v>26</v>
      </c>
      <c r="BN25" s="156" t="s">
        <v>26</v>
      </c>
      <c r="BO25" s="156" t="s">
        <v>26</v>
      </c>
      <c r="BQ25" s="156">
        <v>4.7500000000000001E-2</v>
      </c>
      <c r="BR25" s="156" t="s">
        <v>32</v>
      </c>
      <c r="BS25" s="156" t="s">
        <v>32</v>
      </c>
      <c r="BT25" s="156" t="s">
        <v>32</v>
      </c>
      <c r="BU25" s="156" t="s">
        <v>32</v>
      </c>
      <c r="BV25" s="156" t="s">
        <v>32</v>
      </c>
      <c r="BW25" s="156" t="s">
        <v>32</v>
      </c>
      <c r="BX25" s="156" t="s">
        <v>32</v>
      </c>
      <c r="BY25" s="156" t="s">
        <v>32</v>
      </c>
      <c r="BZ25" s="156" t="s">
        <v>32</v>
      </c>
      <c r="CA25" s="156" t="s">
        <v>32</v>
      </c>
      <c r="CB25" s="156" t="s">
        <v>32</v>
      </c>
      <c r="CC25" s="156" t="s">
        <v>32</v>
      </c>
      <c r="CD25" s="156" t="s">
        <v>32</v>
      </c>
      <c r="CE25" s="156" t="s">
        <v>32</v>
      </c>
      <c r="CF25" s="156" t="s">
        <v>32</v>
      </c>
      <c r="CG25" s="156" t="s">
        <v>32</v>
      </c>
      <c r="CH25" s="156" t="s">
        <v>32</v>
      </c>
      <c r="CI25" s="156" t="s">
        <v>32</v>
      </c>
      <c r="CJ25" s="156" t="s">
        <v>32</v>
      </c>
      <c r="CK25" s="156" t="s">
        <v>32</v>
      </c>
      <c r="CL25" s="156" t="s">
        <v>32</v>
      </c>
      <c r="CN25" s="156">
        <v>4.4999999999999998E-2</v>
      </c>
      <c r="CO25" s="156" t="s">
        <v>26</v>
      </c>
      <c r="CP25" s="156" t="s">
        <v>26</v>
      </c>
      <c r="CQ25" s="156" t="s">
        <v>26</v>
      </c>
      <c r="CR25" s="156" t="s">
        <v>26</v>
      </c>
      <c r="CS25" s="156" t="s">
        <v>26</v>
      </c>
      <c r="CT25" s="156" t="s">
        <v>26</v>
      </c>
      <c r="CU25" s="156" t="s">
        <v>26</v>
      </c>
      <c r="CV25" s="156" t="s">
        <v>26</v>
      </c>
      <c r="CW25" s="156" t="s">
        <v>26</v>
      </c>
      <c r="CX25" s="156" t="s">
        <v>26</v>
      </c>
      <c r="CY25" s="156" t="s">
        <v>26</v>
      </c>
      <c r="CZ25" s="156" t="s">
        <v>26</v>
      </c>
      <c r="DA25" s="156" t="s">
        <v>26</v>
      </c>
      <c r="DB25" s="156" t="s">
        <v>26</v>
      </c>
      <c r="DC25" s="156" t="s">
        <v>26</v>
      </c>
      <c r="DD25" s="156" t="s">
        <v>26</v>
      </c>
      <c r="DE25" s="156" t="s">
        <v>26</v>
      </c>
      <c r="DF25" s="156" t="s">
        <v>26</v>
      </c>
      <c r="DG25" s="156" t="s">
        <v>26</v>
      </c>
      <c r="DH25" s="156" t="s">
        <v>26</v>
      </c>
      <c r="DI25" s="156" t="s">
        <v>26</v>
      </c>
    </row>
    <row r="26" spans="2:113" ht="16" thickBot="1" x14ac:dyDescent="0.25">
      <c r="B26" s="162">
        <v>0.2</v>
      </c>
      <c r="C26" s="156">
        <v>-363.68452695712767</v>
      </c>
      <c r="D26" s="156">
        <v>-180.46403272882526</v>
      </c>
      <c r="E26" s="156">
        <v>185.97695572778321</v>
      </c>
      <c r="F26" s="161">
        <v>552.41794418438803</v>
      </c>
      <c r="I26" s="162">
        <v>0.2</v>
      </c>
      <c r="J26" s="156">
        <v>-108.22050969168049</v>
      </c>
      <c r="K26" s="156">
        <v>329.94930015147111</v>
      </c>
      <c r="L26" s="156">
        <v>1206.2889198377525</v>
      </c>
      <c r="M26" s="156">
        <v>2082.6285395240993</v>
      </c>
      <c r="O26" s="161"/>
      <c r="Q26" s="160">
        <v>1</v>
      </c>
      <c r="R26" s="158" t="s">
        <v>32</v>
      </c>
      <c r="S26" s="158" t="s">
        <v>32</v>
      </c>
      <c r="T26" s="158" t="s">
        <v>26</v>
      </c>
      <c r="U26" s="158" t="s">
        <v>26</v>
      </c>
      <c r="V26" s="157" t="s">
        <v>26</v>
      </c>
      <c r="BQ26" s="156">
        <v>0.05</v>
      </c>
      <c r="BR26" s="156" t="s">
        <v>32</v>
      </c>
      <c r="BS26" s="156" t="s">
        <v>32</v>
      </c>
      <c r="BT26" s="156" t="s">
        <v>32</v>
      </c>
      <c r="BU26" s="156" t="s">
        <v>32</v>
      </c>
      <c r="BV26" s="156" t="s">
        <v>32</v>
      </c>
      <c r="BW26" s="156" t="s">
        <v>32</v>
      </c>
      <c r="BX26" s="156" t="s">
        <v>32</v>
      </c>
      <c r="BY26" s="156" t="s">
        <v>32</v>
      </c>
      <c r="BZ26" s="156" t="s">
        <v>32</v>
      </c>
      <c r="CA26" s="156" t="s">
        <v>32</v>
      </c>
      <c r="CB26" s="156" t="s">
        <v>32</v>
      </c>
      <c r="CC26" s="156" t="s">
        <v>32</v>
      </c>
      <c r="CD26" s="156" t="s">
        <v>32</v>
      </c>
      <c r="CE26" s="156" t="s">
        <v>32</v>
      </c>
      <c r="CF26" s="156" t="s">
        <v>32</v>
      </c>
      <c r="CG26" s="156" t="s">
        <v>32</v>
      </c>
      <c r="CH26" s="156" t="s">
        <v>32</v>
      </c>
      <c r="CI26" s="156" t="s">
        <v>32</v>
      </c>
      <c r="CJ26" s="156" t="s">
        <v>32</v>
      </c>
      <c r="CK26" s="156" t="s">
        <v>32</v>
      </c>
      <c r="CL26" s="156" t="s">
        <v>32</v>
      </c>
      <c r="CN26" s="156">
        <v>4.7500000000000001E-2</v>
      </c>
      <c r="CO26" s="156" t="s">
        <v>26</v>
      </c>
      <c r="CP26" s="156" t="s">
        <v>26</v>
      </c>
      <c r="CQ26" s="156" t="s">
        <v>26</v>
      </c>
      <c r="CR26" s="156" t="s">
        <v>26</v>
      </c>
      <c r="CS26" s="156" t="s">
        <v>26</v>
      </c>
      <c r="CT26" s="156" t="s">
        <v>26</v>
      </c>
      <c r="CU26" s="156" t="s">
        <v>26</v>
      </c>
      <c r="CV26" s="156" t="s">
        <v>26</v>
      </c>
      <c r="CW26" s="156" t="s">
        <v>26</v>
      </c>
      <c r="CX26" s="156" t="s">
        <v>26</v>
      </c>
      <c r="CY26" s="156" t="s">
        <v>26</v>
      </c>
      <c r="CZ26" s="156" t="s">
        <v>26</v>
      </c>
      <c r="DA26" s="156" t="s">
        <v>26</v>
      </c>
      <c r="DB26" s="156" t="s">
        <v>26</v>
      </c>
      <c r="DC26" s="156" t="s">
        <v>26</v>
      </c>
      <c r="DD26" s="156" t="s">
        <v>26</v>
      </c>
      <c r="DE26" s="156" t="s">
        <v>26</v>
      </c>
      <c r="DF26" s="156" t="s">
        <v>26</v>
      </c>
      <c r="DG26" s="156" t="s">
        <v>26</v>
      </c>
      <c r="DH26" s="156" t="s">
        <v>26</v>
      </c>
      <c r="DI26" s="156" t="s">
        <v>26</v>
      </c>
    </row>
    <row r="27" spans="2:113" ht="16" thickBot="1" x14ac:dyDescent="0.25">
      <c r="B27" s="159">
        <v>0.21</v>
      </c>
      <c r="C27" s="158">
        <v>-373.8109996484709</v>
      </c>
      <c r="D27" s="158">
        <v>-200.71697811151171</v>
      </c>
      <c r="E27" s="158">
        <v>145.47106496241031</v>
      </c>
      <c r="F27" s="157">
        <v>491.65910803631414</v>
      </c>
      <c r="I27" s="159">
        <v>0.21</v>
      </c>
      <c r="J27" s="158">
        <v>-108.45694013305183</v>
      </c>
      <c r="K27" s="158">
        <v>329.71286971008522</v>
      </c>
      <c r="L27" s="158">
        <v>1206.0524893963739</v>
      </c>
      <c r="M27" s="158">
        <v>2082.3921090827207</v>
      </c>
      <c r="N27" s="158"/>
      <c r="O27" s="157"/>
      <c r="CN27" s="156">
        <v>0.05</v>
      </c>
      <c r="CO27" s="156" t="s">
        <v>26</v>
      </c>
      <c r="CP27" s="156" t="s">
        <v>26</v>
      </c>
      <c r="CQ27" s="156" t="s">
        <v>26</v>
      </c>
      <c r="CR27" s="156" t="s">
        <v>26</v>
      </c>
      <c r="CS27" s="156" t="s">
        <v>26</v>
      </c>
      <c r="CT27" s="156" t="s">
        <v>26</v>
      </c>
      <c r="CU27" s="156" t="s">
        <v>26</v>
      </c>
      <c r="CV27" s="156" t="s">
        <v>26</v>
      </c>
      <c r="CW27" s="156" t="s">
        <v>26</v>
      </c>
      <c r="CX27" s="156" t="s">
        <v>26</v>
      </c>
      <c r="CY27" s="156" t="s">
        <v>26</v>
      </c>
      <c r="CZ27" s="156" t="s">
        <v>26</v>
      </c>
      <c r="DA27" s="156" t="s">
        <v>26</v>
      </c>
      <c r="DB27" s="156" t="s">
        <v>26</v>
      </c>
      <c r="DC27" s="156" t="s">
        <v>26</v>
      </c>
      <c r="DD27" s="156" t="s">
        <v>26</v>
      </c>
      <c r="DE27" s="156" t="s">
        <v>26</v>
      </c>
      <c r="DF27" s="156" t="s">
        <v>26</v>
      </c>
      <c r="DG27" s="156" t="s">
        <v>26</v>
      </c>
      <c r="DH27" s="156" t="s">
        <v>26</v>
      </c>
      <c r="DI27" s="156" t="s">
        <v>26</v>
      </c>
    </row>
  </sheetData>
  <mergeCells count="7">
    <mergeCell ref="CQ5:DC5"/>
    <mergeCell ref="I4:O4"/>
    <mergeCell ref="B4:F4"/>
    <mergeCell ref="Q4:V4"/>
    <mergeCell ref="AD3:AN3"/>
    <mergeCell ref="AV3:AZ3"/>
    <mergeCell ref="BT4:CG4"/>
  </mergeCells>
  <conditionalFormatting sqref="Q4:V26">
    <cfRule type="containsText" dxfId="11" priority="12" operator="containsText" text="ANG">
      <formula>NOT(ISERROR(SEARCH("ANG",Q4)))</formula>
    </cfRule>
  </conditionalFormatting>
  <conditionalFormatting sqref="Q5:V26">
    <cfRule type="containsText" dxfId="10" priority="10" operator="containsText" text="MM">
      <formula>NOT(ISERROR(SEARCH("MM",Q5)))</formula>
    </cfRule>
    <cfRule type="containsText" dxfId="9" priority="11" operator="containsText" text="EST">
      <formula>NOT(ISERROR(SEARCH("EST",Q5)))</formula>
    </cfRule>
  </conditionalFormatting>
  <conditionalFormatting sqref="X4:AS25 AV4:BA4">
    <cfRule type="containsText" dxfId="8" priority="9" operator="containsText" text="ANG">
      <formula>NOT(ISERROR(SEARCH("ANG",X4)))</formula>
    </cfRule>
  </conditionalFormatting>
  <conditionalFormatting sqref="X5:AS25">
    <cfRule type="containsText" dxfId="7" priority="7" operator="containsText" text="EST">
      <formula>NOT(ISERROR(SEARCH("EST",X5)))</formula>
    </cfRule>
    <cfRule type="containsText" dxfId="6" priority="8" operator="containsText" text="EST">
      <formula>NOT(ISERROR(SEARCH("EST",X5)))</formula>
    </cfRule>
  </conditionalFormatting>
  <conditionalFormatting sqref="AV5:BA25">
    <cfRule type="containsText" dxfId="5" priority="5" operator="containsText" text="ANG">
      <formula>NOT(ISERROR(SEARCH("ANG",AV5)))</formula>
    </cfRule>
    <cfRule type="containsText" dxfId="4" priority="6" operator="containsText" text="MM">
      <formula>NOT(ISERROR(SEARCH("MM",AV5)))</formula>
    </cfRule>
  </conditionalFormatting>
  <conditionalFormatting sqref="BC4:BO25">
    <cfRule type="containsText" dxfId="3" priority="1" operator="containsText" text="NT">
      <formula>NOT(ISERROR(SEARCH("NT",BC4)))</formula>
    </cfRule>
    <cfRule type="containsText" dxfId="2" priority="2" operator="containsText" text="EST">
      <formula>NOT(ISERROR(SEARCH("EST",BC4)))</formula>
    </cfRule>
    <cfRule type="containsText" dxfId="1" priority="3" operator="containsText" text="ANG">
      <formula>NOT(ISERROR(SEARCH("ANG",BC4)))</formula>
    </cfRule>
    <cfRule type="containsText" dxfId="0" priority="4" operator="containsText" text="MM">
      <formula>NOT(ISERROR(SEARCH("MM",BC4)))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48</vt:i4>
      </vt:variant>
    </vt:vector>
  </HeadingPairs>
  <TitlesOfParts>
    <vt:vector size="56" baseType="lpstr">
      <vt:lpstr>Title</vt:lpstr>
      <vt:lpstr>Introduction</vt:lpstr>
      <vt:lpstr>Inputs</vt:lpstr>
      <vt:lpstr>Costs &amp; QALY</vt:lpstr>
      <vt:lpstr>The Decision Tree</vt:lpstr>
      <vt:lpstr>ICER Interpretation</vt:lpstr>
      <vt:lpstr>1-Way Sensitivity</vt:lpstr>
      <vt:lpstr>2-Way Sensitivity</vt:lpstr>
      <vt:lpstr>base_threshold</vt:lpstr>
      <vt:lpstr>cost_ANG</vt:lpstr>
      <vt:lpstr>cost_CABG</vt:lpstr>
      <vt:lpstr>cost_EST</vt:lpstr>
      <vt:lpstr>cost_MM_moderate</vt:lpstr>
      <vt:lpstr>cost_MM_postCABG</vt:lpstr>
      <vt:lpstr>cost_MM_severe</vt:lpstr>
      <vt:lpstr>cost_NT</vt:lpstr>
      <vt:lpstr>p_AliveGiivenMVDCABG</vt:lpstr>
      <vt:lpstr>p_AliveGivenMVDANG</vt:lpstr>
      <vt:lpstr>p_AliveGivenSVDANG</vt:lpstr>
      <vt:lpstr>p_AliveGivenSVDCABG</vt:lpstr>
      <vt:lpstr>p_CABGfailMVD</vt:lpstr>
      <vt:lpstr>p_CABGfailSVD</vt:lpstr>
      <vt:lpstr>p_CABGsucessMVD</vt:lpstr>
      <vt:lpstr>p_CABGsucessMVDCABG</vt:lpstr>
      <vt:lpstr>p_CABGsucessSVD</vt:lpstr>
      <vt:lpstr>p_DaethGivenMVDCABG</vt:lpstr>
      <vt:lpstr>p_DeathGivenMVDANG</vt:lpstr>
      <vt:lpstr>p_DeathGivenMVDCABG</vt:lpstr>
      <vt:lpstr>p_DeathGivenSVDANG</vt:lpstr>
      <vt:lpstr>p_FalseNegative</vt:lpstr>
      <vt:lpstr>p_FalsePosiive</vt:lpstr>
      <vt:lpstr>p_FalsePosiive_est</vt:lpstr>
      <vt:lpstr>p_FalsePosiiveEST</vt:lpstr>
      <vt:lpstr>p_healthy</vt:lpstr>
      <vt:lpstr>p_HealthyGivenNegative</vt:lpstr>
      <vt:lpstr>p_HealthyGivenNegativeCABG</vt:lpstr>
      <vt:lpstr>p_HealthyGivenPositive</vt:lpstr>
      <vt:lpstr>p_HealthyGivenPositiveCABG</vt:lpstr>
      <vt:lpstr>p_MVD</vt:lpstr>
      <vt:lpstr>p_MVDgivenS</vt:lpstr>
      <vt:lpstr>p_sick</vt:lpstr>
      <vt:lpstr>p_SickgivenNegative</vt:lpstr>
      <vt:lpstr>p_SickgivenNegativeCABG</vt:lpstr>
      <vt:lpstr>p_SickgivenPositive</vt:lpstr>
      <vt:lpstr>p_SickgivenPositiveCABG</vt:lpstr>
      <vt:lpstr>p_successSVDCABG</vt:lpstr>
      <vt:lpstr>p_sVD</vt:lpstr>
      <vt:lpstr>p_sVDgivenS</vt:lpstr>
      <vt:lpstr>p_T</vt:lpstr>
      <vt:lpstr>p_TestNegative</vt:lpstr>
      <vt:lpstr>p_TestNegativeANG</vt:lpstr>
      <vt:lpstr>p_TestPositive</vt:lpstr>
      <vt:lpstr>p_TestPositiveANG</vt:lpstr>
      <vt:lpstr>p_TrueNegative</vt:lpstr>
      <vt:lpstr>p_TruePositive</vt:lpstr>
      <vt:lpstr>p_TruePositive_EST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 Manjunath</dc:creator>
  <cp:lastModifiedBy>Harshitha Manjunath</cp:lastModifiedBy>
  <dcterms:created xsi:type="dcterms:W3CDTF">2026-02-10T11:03:20Z</dcterms:created>
  <dcterms:modified xsi:type="dcterms:W3CDTF">2026-05-04T21:16:54Z</dcterms:modified>
</cp:coreProperties>
</file>